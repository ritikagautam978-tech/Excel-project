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9"/>
  <workbookPr/>
  <mc:AlternateContent xmlns:mc="http://schemas.openxmlformats.org/markup-compatibility/2006">
    <mc:Choice Requires="x15">
      <x15ac:absPath xmlns:x15ac="http://schemas.microsoft.com/office/spreadsheetml/2010/11/ac" url="C:\Users\Admin\Music\"/>
    </mc:Choice>
  </mc:AlternateContent>
  <xr:revisionPtr revIDLastSave="0" documentId="8_{D5A78661-446B-4AC0-8667-7B21B107B4AA}" xr6:coauthVersionLast="47" xr6:coauthVersionMax="47" xr10:uidLastSave="{00000000-0000-0000-0000-000000000000}"/>
  <bookViews>
    <workbookView xWindow="0" yWindow="0" windowWidth="8640" windowHeight="4470" xr2:uid="{00000000-000D-0000-FFFF-FFFF00000000}"/>
  </bookViews>
  <sheets>
    <sheet name="Dashboard" sheetId="1" r:id="rId1"/>
    <sheet name="Expense Details" sheetId="2" r:id="rId2"/>
    <sheet name="Department Summary" sheetId="3" r:id="rId3"/>
    <sheet name="Category Summary" sheetId="4" r:id="rId4"/>
    <sheet name="Monthly Summary" sheetId="5" r:id="rId5"/>
    <sheet name="Pivot " sheetId="6" r:id="rId6"/>
  </sheets>
  <definedNames>
    <definedName name="Slicer_Department">#N/A</definedName>
    <definedName name="Slicer_Status">#N/A</definedName>
    <definedName name="Slicer_Vendor">#N/A</definedName>
  </definedNames>
  <calcPr calcId="191028"/>
  <pivotCaches>
    <pivotCache cacheId="349"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<sst xmlns="http://schemas.openxmlformats.org/spreadsheetml/2006/main" count="1479" uniqueCount="465">
  <si>
    <t>Date</t>
  </si>
  <si>
    <t>Department</t>
  </si>
  <si>
    <t>Category</t>
  </si>
  <si>
    <t>Vendor</t>
  </si>
  <si>
    <t>Description</t>
  </si>
  <si>
    <t>Amount</t>
  </si>
  <si>
    <t>Status</t>
  </si>
  <si>
    <t>Employee</t>
  </si>
  <si>
    <t>2023-11-02</t>
  </si>
  <si>
    <t>IT</t>
  </si>
  <si>
    <t>Training</t>
  </si>
  <si>
    <t>PowerGrid</t>
  </si>
  <si>
    <t>Expense 5548</t>
  </si>
  <si>
    <t>Pending</t>
  </si>
  <si>
    <t>Employee 9</t>
  </si>
  <si>
    <t>2023-11-04</t>
  </si>
  <si>
    <t>HR</t>
  </si>
  <si>
    <t>Supplies</t>
  </si>
  <si>
    <t>SoftwareLabs</t>
  </si>
  <si>
    <t>Expense 9996</t>
  </si>
  <si>
    <t>Reimbursed</t>
  </si>
  <si>
    <t>Employee 21</t>
  </si>
  <si>
    <t>2023-11-05</t>
  </si>
  <si>
    <t>Marketing</t>
  </si>
  <si>
    <t>Travel</t>
  </si>
  <si>
    <t>TrainHub</t>
  </si>
  <si>
    <t>Expense 8577</t>
  </si>
  <si>
    <t>Approved</t>
  </si>
  <si>
    <t>Employee 42</t>
  </si>
  <si>
    <t>2023-11-07</t>
  </si>
  <si>
    <t>Maintenance</t>
  </si>
  <si>
    <t>TechCorp</t>
  </si>
  <si>
    <t>Expense 3198</t>
  </si>
  <si>
    <t>Employee 19</t>
  </si>
  <si>
    <t>2023-11-08</t>
  </si>
  <si>
    <t>Equipment</t>
  </si>
  <si>
    <t>RepairPro</t>
  </si>
  <si>
    <t>Expense 6954</t>
  </si>
  <si>
    <t>Employee 8</t>
  </si>
  <si>
    <t>2023-11-10</t>
  </si>
  <si>
    <t>Sales</t>
  </si>
  <si>
    <t>OfficeSupply Co</t>
  </si>
  <si>
    <t>Expense 3219</t>
  </si>
  <si>
    <t>Employee 20</t>
  </si>
  <si>
    <t>Expense 7028</t>
  </si>
  <si>
    <t>Employee 24</t>
  </si>
  <si>
    <t>2023-11-12</t>
  </si>
  <si>
    <t>Software</t>
  </si>
  <si>
    <t>AirTravel Inc</t>
  </si>
  <si>
    <t>Expense 9945</t>
  </si>
  <si>
    <t>Expense 5090</t>
  </si>
  <si>
    <t>Employee 49</t>
  </si>
  <si>
    <t>2023-11-14</t>
  </si>
  <si>
    <t>Expense 2304</t>
  </si>
  <si>
    <t>Employee 43</t>
  </si>
  <si>
    <t>2023-11-17</t>
  </si>
  <si>
    <t>Operations</t>
  </si>
  <si>
    <t>Utilities</t>
  </si>
  <si>
    <t>Expense 2069</t>
  </si>
  <si>
    <t>Employee 41</t>
  </si>
  <si>
    <t>2023-11-20</t>
  </si>
  <si>
    <t>Expense 7002</t>
  </si>
  <si>
    <t>Employee 2</t>
  </si>
  <si>
    <t>2023-11-21</t>
  </si>
  <si>
    <t>Expense 2682</t>
  </si>
  <si>
    <t>Employee 1</t>
  </si>
  <si>
    <t>Expense 9792</t>
  </si>
  <si>
    <t>2023-11-22</t>
  </si>
  <si>
    <t>Expense 3896</t>
  </si>
  <si>
    <t>Employee 29</t>
  </si>
  <si>
    <t>2023-11-23</t>
  </si>
  <si>
    <t>Expense 4741</t>
  </si>
  <si>
    <t>2023-11-25</t>
  </si>
  <si>
    <t>Expense 8651</t>
  </si>
  <si>
    <t>Employee 39</t>
  </si>
  <si>
    <t>2023-11-26</t>
  </si>
  <si>
    <t>Expense 6913</t>
  </si>
  <si>
    <t>Employee 14</t>
  </si>
  <si>
    <t>2023-11-28</t>
  </si>
  <si>
    <t>Expense 5835</t>
  </si>
  <si>
    <t>Employee 17</t>
  </si>
  <si>
    <t>Expense 5621</t>
  </si>
  <si>
    <t>Employee 3</t>
  </si>
  <si>
    <t>2023-11-29</t>
  </si>
  <si>
    <t>Expense 4356</t>
  </si>
  <si>
    <t>2023-11-30</t>
  </si>
  <si>
    <t>Expense 3180</t>
  </si>
  <si>
    <t>2023-12-05</t>
  </si>
  <si>
    <t>Expense 4943</t>
  </si>
  <si>
    <t>2023-12-06</t>
  </si>
  <si>
    <t>Expense 9705</t>
  </si>
  <si>
    <t>Employee 11</t>
  </si>
  <si>
    <t>Expense 4157</t>
  </si>
  <si>
    <t>Employee 6</t>
  </si>
  <si>
    <t>2023-12-07</t>
  </si>
  <si>
    <t>Expense 1606</t>
  </si>
  <si>
    <t>2023-12-09</t>
  </si>
  <si>
    <t>Expense 8027</t>
  </si>
  <si>
    <t>2023-12-12</t>
  </si>
  <si>
    <t>Expense 6788</t>
  </si>
  <si>
    <t>Employee 27</t>
  </si>
  <si>
    <t>Expense 8184</t>
  </si>
  <si>
    <t>Employee 12</t>
  </si>
  <si>
    <t>2023-12-17</t>
  </si>
  <si>
    <t>Expense 4486</t>
  </si>
  <si>
    <t>2023-12-18</t>
  </si>
  <si>
    <t>Expense 9154</t>
  </si>
  <si>
    <t>Employee 47</t>
  </si>
  <si>
    <t>2023-12-19</t>
  </si>
  <si>
    <t>Expense 1688</t>
  </si>
  <si>
    <t>Employee 40</t>
  </si>
  <si>
    <t>Expense 3482</t>
  </si>
  <si>
    <t>Employee 32</t>
  </si>
  <si>
    <t>2023-12-21</t>
  </si>
  <si>
    <t>Expense 4797</t>
  </si>
  <si>
    <t>Employee 37</t>
  </si>
  <si>
    <t>2023-12-22</t>
  </si>
  <si>
    <t>Expense 8574</t>
  </si>
  <si>
    <t>2023-12-23</t>
  </si>
  <si>
    <t>Expense 7331</t>
  </si>
  <si>
    <t>Employee 15</t>
  </si>
  <si>
    <t>2023-12-24</t>
  </si>
  <si>
    <t>Expense 7722</t>
  </si>
  <si>
    <t>2024-01-01</t>
  </si>
  <si>
    <t>Expense 7316</t>
  </si>
  <si>
    <t>Employee 4</t>
  </si>
  <si>
    <t>2024-01-02</t>
  </si>
  <si>
    <t>Expense 2248</t>
  </si>
  <si>
    <t>Expense 1391</t>
  </si>
  <si>
    <t>Employee 5</t>
  </si>
  <si>
    <t>2024-01-07</t>
  </si>
  <si>
    <t>Expense 2640</t>
  </si>
  <si>
    <t>2024-01-12</t>
  </si>
  <si>
    <t>Expense 2828</t>
  </si>
  <si>
    <t>2024-01-14</t>
  </si>
  <si>
    <t>Expense 8164</t>
  </si>
  <si>
    <t>2024-01-17</t>
  </si>
  <si>
    <t>Expense 7645</t>
  </si>
  <si>
    <t>Employee 38</t>
  </si>
  <si>
    <t>Expense 8240</t>
  </si>
  <si>
    <t>Employee 22</t>
  </si>
  <si>
    <t>2024-01-20</t>
  </si>
  <si>
    <t>Expense 3396</t>
  </si>
  <si>
    <t>2024-01-22</t>
  </si>
  <si>
    <t>Expense 7600</t>
  </si>
  <si>
    <t>Employee 13</t>
  </si>
  <si>
    <t>2024-01-26</t>
  </si>
  <si>
    <t>Expense 3074</t>
  </si>
  <si>
    <t>2024-01-28</t>
  </si>
  <si>
    <t>Expense 7943</t>
  </si>
  <si>
    <t>Employee 23</t>
  </si>
  <si>
    <t>2024-01-30</t>
  </si>
  <si>
    <t>Expense 5268</t>
  </si>
  <si>
    <t>2024-01-31</t>
  </si>
  <si>
    <t>Expense 2704</t>
  </si>
  <si>
    <t>2024-02-01</t>
  </si>
  <si>
    <t>Expense 1417</t>
  </si>
  <si>
    <t>Employee 50</t>
  </si>
  <si>
    <t>2024-02-02</t>
  </si>
  <si>
    <t>Expense 1235</t>
  </si>
  <si>
    <t>2024-02-03</t>
  </si>
  <si>
    <t>Expense 9472</t>
  </si>
  <si>
    <t>2024-02-04</t>
  </si>
  <si>
    <t>Expense 4343</t>
  </si>
  <si>
    <t>2024-02-05</t>
  </si>
  <si>
    <t>Expense 8996</t>
  </si>
  <si>
    <t>2024-02-06</t>
  </si>
  <si>
    <t>Expense 5282</t>
  </si>
  <si>
    <t>Expense 9646</t>
  </si>
  <si>
    <t>2024-02-07</t>
  </si>
  <si>
    <t>Expense 8657</t>
  </si>
  <si>
    <t>Expense 5973</t>
  </si>
  <si>
    <t>Employee 16</t>
  </si>
  <si>
    <t>2024-02-09</t>
  </si>
  <si>
    <t>Expense 6536</t>
  </si>
  <si>
    <t>2024-02-11</t>
  </si>
  <si>
    <t>Expense 6191</t>
  </si>
  <si>
    <t>2024-02-12</t>
  </si>
  <si>
    <t>Expense 9389</t>
  </si>
  <si>
    <t>2024-02-17</t>
  </si>
  <si>
    <t>Expense 7541</t>
  </si>
  <si>
    <t>2024-02-19</t>
  </si>
  <si>
    <t>Expense 9172</t>
  </si>
  <si>
    <t>2024-02-21</t>
  </si>
  <si>
    <t>Expense 1698</t>
  </si>
  <si>
    <t>Expense 8009</t>
  </si>
  <si>
    <t>Employee 35</t>
  </si>
  <si>
    <t>2024-02-23</t>
  </si>
  <si>
    <t>Expense 1793</t>
  </si>
  <si>
    <t>2024-02-24</t>
  </si>
  <si>
    <t>Expense 5199</t>
  </si>
  <si>
    <t>Employee 25</t>
  </si>
  <si>
    <t>2024-02-26</t>
  </si>
  <si>
    <t>Expense 5363</t>
  </si>
  <si>
    <t>Employee 30</t>
  </si>
  <si>
    <t>2024-03-05</t>
  </si>
  <si>
    <t>Expense 4596</t>
  </si>
  <si>
    <t>Expense 2906</t>
  </si>
  <si>
    <t>2024-03-06</t>
  </si>
  <si>
    <t>Expense 2664</t>
  </si>
  <si>
    <t>Employee 34</t>
  </si>
  <si>
    <t>2024-03-10</t>
  </si>
  <si>
    <t>Expense 1502</t>
  </si>
  <si>
    <t>2024-03-11</t>
  </si>
  <si>
    <t>2024-03-14</t>
  </si>
  <si>
    <t>Expense 5555</t>
  </si>
  <si>
    <t>2024-03-16</t>
  </si>
  <si>
    <t>Expense 3560</t>
  </si>
  <si>
    <t>Expense 1954</t>
  </si>
  <si>
    <t>2024-03-20</t>
  </si>
  <si>
    <t>Expense 8206</t>
  </si>
  <si>
    <t>2024-03-23</t>
  </si>
  <si>
    <t>Expense 2353</t>
  </si>
  <si>
    <t>2024-03-26</t>
  </si>
  <si>
    <t>Expense 6177</t>
  </si>
  <si>
    <t>2024-03-28</t>
  </si>
  <si>
    <t>Expense 9393</t>
  </si>
  <si>
    <t>2024-03-30</t>
  </si>
  <si>
    <t>Expense 7287</t>
  </si>
  <si>
    <t>2024-03-31</t>
  </si>
  <si>
    <t>Expense 4766</t>
  </si>
  <si>
    <t>2024-04-04</t>
  </si>
  <si>
    <t>Expense 7819</t>
  </si>
  <si>
    <t>2024-04-05</t>
  </si>
  <si>
    <t>Expense 1950</t>
  </si>
  <si>
    <t>2024-04-06</t>
  </si>
  <si>
    <t>Expense 9477</t>
  </si>
  <si>
    <t>2024-04-07</t>
  </si>
  <si>
    <t>Expense 8980</t>
  </si>
  <si>
    <t>2024-04-08</t>
  </si>
  <si>
    <t>Expense 8570</t>
  </si>
  <si>
    <t>Expense 7833</t>
  </si>
  <si>
    <t>2024-04-09</t>
  </si>
  <si>
    <t>Expense 6854</t>
  </si>
  <si>
    <t>Employee 46</t>
  </si>
  <si>
    <t>2024-04-17</t>
  </si>
  <si>
    <t>Expense 7944</t>
  </si>
  <si>
    <t>2024-04-25</t>
  </si>
  <si>
    <t>Expense 8266</t>
  </si>
  <si>
    <t>Expense 8400</t>
  </si>
  <si>
    <t>Employee 28</t>
  </si>
  <si>
    <t>2024-04-28</t>
  </si>
  <si>
    <t>Expense 5380</t>
  </si>
  <si>
    <t>2024-05-01</t>
  </si>
  <si>
    <t>Expense 7640</t>
  </si>
  <si>
    <t>2024-05-02</t>
  </si>
  <si>
    <t>Expense 3371</t>
  </si>
  <si>
    <t>Employee 31</t>
  </si>
  <si>
    <t>2024-05-03</t>
  </si>
  <si>
    <t>Expense 6188</t>
  </si>
  <si>
    <t>2024-05-08</t>
  </si>
  <si>
    <t>Expense 4067</t>
  </si>
  <si>
    <t>Employee 36</t>
  </si>
  <si>
    <t>2024-05-10</t>
  </si>
  <si>
    <t>Expense 9073</t>
  </si>
  <si>
    <t>Employee 18</t>
  </si>
  <si>
    <t>Expense 9905</t>
  </si>
  <si>
    <t>Expense 5079</t>
  </si>
  <si>
    <t>2024-05-15</t>
  </si>
  <si>
    <t>Expense 2460</t>
  </si>
  <si>
    <t>Employee 10</t>
  </si>
  <si>
    <t>2024-05-16</t>
  </si>
  <si>
    <t>Expense 6387</t>
  </si>
  <si>
    <t>Employee 45</t>
  </si>
  <si>
    <t>2024-05-19</t>
  </si>
  <si>
    <t>Expense 1060</t>
  </si>
  <si>
    <t>Expense 3779</t>
  </si>
  <si>
    <t>2024-05-20</t>
  </si>
  <si>
    <t>Expense 5223</t>
  </si>
  <si>
    <t>2024-05-22</t>
  </si>
  <si>
    <t>Expense 8421</t>
  </si>
  <si>
    <t>2024-05-24</t>
  </si>
  <si>
    <t>Expense 6486</t>
  </si>
  <si>
    <t>Expense 1294</t>
  </si>
  <si>
    <t>2024-05-25</t>
  </si>
  <si>
    <t>Expense 2484</t>
  </si>
  <si>
    <t>2024-05-28</t>
  </si>
  <si>
    <t>Expense 9502</t>
  </si>
  <si>
    <t>2024-06-02</t>
  </si>
  <si>
    <t>Expense 9322</t>
  </si>
  <si>
    <t>Employee 44</t>
  </si>
  <si>
    <t>2024-06-03</t>
  </si>
  <si>
    <t>Expense 5876</t>
  </si>
  <si>
    <t>2024-06-05</t>
  </si>
  <si>
    <t>Expense 1984</t>
  </si>
  <si>
    <t>2024-06-08</t>
  </si>
  <si>
    <t>Expense 5846</t>
  </si>
  <si>
    <t>2024-06-09</t>
  </si>
  <si>
    <t>Expense 8059</t>
  </si>
  <si>
    <t>Expense 5719</t>
  </si>
  <si>
    <t>2024-06-10</t>
  </si>
  <si>
    <t>Expense 9195</t>
  </si>
  <si>
    <t>Expense 5497</t>
  </si>
  <si>
    <t>2024-06-11</t>
  </si>
  <si>
    <t>Expense 6249</t>
  </si>
  <si>
    <t>2024-06-13</t>
  </si>
  <si>
    <t>Expense 6619</t>
  </si>
  <si>
    <t>2024-06-16</t>
  </si>
  <si>
    <t>Expense 2733</t>
  </si>
  <si>
    <t>2024-06-18</t>
  </si>
  <si>
    <t>Expense 7278</t>
  </si>
  <si>
    <t>Employee 33</t>
  </si>
  <si>
    <t>Expense 2306</t>
  </si>
  <si>
    <t>2024-06-19</t>
  </si>
  <si>
    <t>Expense 5150</t>
  </si>
  <si>
    <t>2024-06-20</t>
  </si>
  <si>
    <t>Expense 5499</t>
  </si>
  <si>
    <t>Expense 7371</t>
  </si>
  <si>
    <t>2024-06-21</t>
  </si>
  <si>
    <t>Expense 5491</t>
  </si>
  <si>
    <t>2024-06-23</t>
  </si>
  <si>
    <t>Expense 3739</t>
  </si>
  <si>
    <t>2024-06-25</t>
  </si>
  <si>
    <t>Expense 6895</t>
  </si>
  <si>
    <t>2024-06-26</t>
  </si>
  <si>
    <t>Expense 8449</t>
  </si>
  <si>
    <t>Expense 5432</t>
  </si>
  <si>
    <t>2024-06-28</t>
  </si>
  <si>
    <t>Expense 2796</t>
  </si>
  <si>
    <t>2024-06-29</t>
  </si>
  <si>
    <t>Expense 2015</t>
  </si>
  <si>
    <t>2024-07-03</t>
  </si>
  <si>
    <t>Expense 8390</t>
  </si>
  <si>
    <t>2024-07-04</t>
  </si>
  <si>
    <t>Expense 5218</t>
  </si>
  <si>
    <t>2024-07-09</t>
  </si>
  <si>
    <t>Expense 2986</t>
  </si>
  <si>
    <t>Employee 7</t>
  </si>
  <si>
    <t>2024-07-10</t>
  </si>
  <si>
    <t>Expense 7938</t>
  </si>
  <si>
    <t>Expense 2838</t>
  </si>
  <si>
    <t>2024-07-11</t>
  </si>
  <si>
    <t>Expense 7166</t>
  </si>
  <si>
    <t>2024-07-14</t>
  </si>
  <si>
    <t>Expense 3839</t>
  </si>
  <si>
    <t>2024-07-16</t>
  </si>
  <si>
    <t>Expense 4748</t>
  </si>
  <si>
    <t>2024-07-17</t>
  </si>
  <si>
    <t>Expense 4419</t>
  </si>
  <si>
    <t>Expense 7873</t>
  </si>
  <si>
    <t>2024-07-21</t>
  </si>
  <si>
    <t>Expense 1004</t>
  </si>
  <si>
    <t>2024-07-27</t>
  </si>
  <si>
    <t>Expense 7439</t>
  </si>
  <si>
    <t>2024-07-28</t>
  </si>
  <si>
    <t>Expense 2267</t>
  </si>
  <si>
    <t>2024-07-30</t>
  </si>
  <si>
    <t>Expense 8343</t>
  </si>
  <si>
    <t>Employee 26</t>
  </si>
  <si>
    <t>2024-08-01</t>
  </si>
  <si>
    <t>Expense 5208</t>
  </si>
  <si>
    <t>2024-08-04</t>
  </si>
  <si>
    <t>Expense 4147</t>
  </si>
  <si>
    <t>2024-08-06</t>
  </si>
  <si>
    <t>Expense 2686</t>
  </si>
  <si>
    <t>2024-08-08</t>
  </si>
  <si>
    <t>Expense 6415</t>
  </si>
  <si>
    <t>2024-08-10</t>
  </si>
  <si>
    <t>Expense 6450</t>
  </si>
  <si>
    <t>2024-08-12</t>
  </si>
  <si>
    <t>Expense 9787</t>
  </si>
  <si>
    <t>2024-08-14</t>
  </si>
  <si>
    <t>Expense 1574</t>
  </si>
  <si>
    <t>2024-08-17</t>
  </si>
  <si>
    <t>Expense 5203</t>
  </si>
  <si>
    <t>Expense 8973</t>
  </si>
  <si>
    <t>Expense 9356</t>
  </si>
  <si>
    <t>Employee 48</t>
  </si>
  <si>
    <t>2024-08-20</t>
  </si>
  <si>
    <t>Expense 2184</t>
  </si>
  <si>
    <t>2024-08-21</t>
  </si>
  <si>
    <t>Expense 8878</t>
  </si>
  <si>
    <t>2024-08-27</t>
  </si>
  <si>
    <t>Expense 3568</t>
  </si>
  <si>
    <t>2024-08-29</t>
  </si>
  <si>
    <t>2024-08-31</t>
  </si>
  <si>
    <t>Expense 4854</t>
  </si>
  <si>
    <t>2024-09-01</t>
  </si>
  <si>
    <t>Expense 9954</t>
  </si>
  <si>
    <t>2024-09-03</t>
  </si>
  <si>
    <t>Expense 3385</t>
  </si>
  <si>
    <t>2024-09-07</t>
  </si>
  <si>
    <t>Expense 9942</t>
  </si>
  <si>
    <t>Expense 1133</t>
  </si>
  <si>
    <t>2024-09-10</t>
  </si>
  <si>
    <t>Expense 2853</t>
  </si>
  <si>
    <t>2024-09-12</t>
  </si>
  <si>
    <t>Expense 6348</t>
  </si>
  <si>
    <t>Expense 7530</t>
  </si>
  <si>
    <t>Expense 7376</t>
  </si>
  <si>
    <t>2024-09-13</t>
  </si>
  <si>
    <t>Expense 1271</t>
  </si>
  <si>
    <t>2024-09-14</t>
  </si>
  <si>
    <t>Expense 9038</t>
  </si>
  <si>
    <t>2024-09-15</t>
  </si>
  <si>
    <t>Expense 7988</t>
  </si>
  <si>
    <t>2024-09-16</t>
  </si>
  <si>
    <t>Expense 3824</t>
  </si>
  <si>
    <t>2024-09-19</t>
  </si>
  <si>
    <t>Expense 8832</t>
  </si>
  <si>
    <t>2024-09-21</t>
  </si>
  <si>
    <t>Expense 6352</t>
  </si>
  <si>
    <t>2024-09-23</t>
  </si>
  <si>
    <t>Expense 7413</t>
  </si>
  <si>
    <t>Expense 9228</t>
  </si>
  <si>
    <t>2024-09-25</t>
  </si>
  <si>
    <t>Expense 5164</t>
  </si>
  <si>
    <t>2024-09-26</t>
  </si>
  <si>
    <t>Expense 9434</t>
  </si>
  <si>
    <t>2024-09-30</t>
  </si>
  <si>
    <t>Expense 9007</t>
  </si>
  <si>
    <t>Expense 2331</t>
  </si>
  <si>
    <t>2024-10-02</t>
  </si>
  <si>
    <t>Expense 1481</t>
  </si>
  <si>
    <t>2024-10-04</t>
  </si>
  <si>
    <t>Expense 9691</t>
  </si>
  <si>
    <t>2024-10-06</t>
  </si>
  <si>
    <t>Expense 7881</t>
  </si>
  <si>
    <t>2024-10-10</t>
  </si>
  <si>
    <t>Expense 3558</t>
  </si>
  <si>
    <t>2024-10-11</t>
  </si>
  <si>
    <t>Expense 7235</t>
  </si>
  <si>
    <t>Expense 3872</t>
  </si>
  <si>
    <t>2024-10-12</t>
  </si>
  <si>
    <t>Expense 5971</t>
  </si>
  <si>
    <t>2024-10-14</t>
  </si>
  <si>
    <t>Expense 2389</t>
  </si>
  <si>
    <t>2024-10-15</t>
  </si>
  <si>
    <t>Expense 7799</t>
  </si>
  <si>
    <t>2024-10-19</t>
  </si>
  <si>
    <t>Expense 2312</t>
  </si>
  <si>
    <t>2024-10-20</t>
  </si>
  <si>
    <t>Expense 7971</t>
  </si>
  <si>
    <t>Expense 1302</t>
  </si>
  <si>
    <t>2024-10-21</t>
  </si>
  <si>
    <t>Expense 6959</t>
  </si>
  <si>
    <t>Expense 7150</t>
  </si>
  <si>
    <t>2024-10-24</t>
  </si>
  <si>
    <t>Expense 4760</t>
  </si>
  <si>
    <t>2024-10-31</t>
  </si>
  <si>
    <t>Expense 1054</t>
  </si>
  <si>
    <t>Total Spent</t>
  </si>
  <si>
    <t>Avg Expense</t>
  </si>
  <si>
    <t>Number of Expenses</t>
  </si>
  <si>
    <t>Month</t>
  </si>
  <si>
    <t>2023-11</t>
  </si>
  <si>
    <t>2023-12</t>
  </si>
  <si>
    <t>2024-01</t>
  </si>
  <si>
    <t>2024-02</t>
  </si>
  <si>
    <t>2024-03</t>
  </si>
  <si>
    <t>2024-04</t>
  </si>
  <si>
    <t>2024-05</t>
  </si>
  <si>
    <t>2024-06</t>
  </si>
  <si>
    <t>2024-07</t>
  </si>
  <si>
    <t>2024-08</t>
  </si>
  <si>
    <t>2024-09</t>
  </si>
  <si>
    <t>2024-10</t>
  </si>
  <si>
    <t>Sum of Amount</t>
  </si>
  <si>
    <t>Column Labels</t>
  </si>
  <si>
    <t>Row Labels</t>
  </si>
  <si>
    <t>Grand Total</t>
  </si>
  <si>
    <t>OFFICE EXPENSE TRACKER</t>
  </si>
  <si>
    <t xml:space="preserve"> Status by Dept</t>
  </si>
  <si>
    <t>Count of Amount</t>
  </si>
  <si>
    <t>Average of 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</si>
</sst>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44F]\ * #,##0.00_ ;_ [$₹-44F]\ * \-#,##0.00_ ;_ [$₹-44F]\ * &quot;-&quot;??_ ;_ @_ "/>
    <numFmt numFmtId="165" formatCode="_ [$₹-439]* #,##0.00_ ;_ [$₹-439]* \-#,##0.00_ ;_ [$₹-439]* &quot;-&quot;??_ ;_ @_ "/>
  </numFmts>
  <fonts count="5">
    <font>
      <sz val="11"/>
      <color theme="1"/>
      <name val="Calibri"/>
      <family val="2"/>
      <scheme val="minor"/>
    </font>
    <font>
      <b/>
      <sz val="16"/>
      <color rgb="FF366092"/>
      <name val="Calibri"/>
    </font>
    <font>
      <b/>
      <sz val="12"/>
      <color rgb="FFFFFFFF"/>
      <name val="Calibri"/>
    </font>
    <font>
      <b/>
      <sz val="11"/>
      <name val="Calibri"/>
    </font>
    <font>
      <sz val="11"/>
      <name val="Calibri"/>
    </font>
  </fonts>
  <fills count="4">
    <fill>
      <patternFill patternType="none"/>
    </fill>
    <fill>
      <patternFill patternType="gray125"/>
    </fill>
    <fill>
      <patternFill patternType="solid">
        <fgColor rgb="FF4472C4"/>
        <bgColor rgb="FF4472C4"/>
      </patternFill>
    </fill>
    <fill>
      <patternFill patternType="solid">
        <fgColor rgb="FF366092"/>
        <bgColor rgb="FF366092"/>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8">
    <xf numFmtId="0" fontId="0" fillId="0" borderId="0" xfId="0"/>
    <xf numFmtId="0" fontId="3" fillId="0" borderId="0" xfId="0" applyFont="1"/>
    <xf numFmtId="0" fontId="4" fillId="0" borderId="0" xfId="0" applyFont="1"/>
    <xf numFmtId="0" fontId="2" fillId="3" borderId="1" xfId="0" applyFont="1" applyFill="1" applyBorder="1" applyAlignment="1">
      <alignment horizontal="center" vertical="center"/>
    </xf>
    <xf numFmtId="0" fontId="0" fillId="0" borderId="1" xfId="0" applyBorder="1"/>
    <xf numFmtId="0" fontId="0" fillId="0" borderId="0" xfId="0"/>
    <xf numFmtId="164" fontId="2" fillId="3" borderId="1" xfId="0" applyNumberFormat="1" applyFont="1" applyFill="1" applyBorder="1" applyAlignment="1">
      <alignment horizontal="center" vertical="center"/>
    </xf>
    <xf numFmtId="164" fontId="0" fillId="0" borderId="1" xfId="0" applyNumberFormat="1" applyBorder="1"/>
    <xf numFmtId="164" fontId="0" fillId="0" borderId="0" xfId="0" applyNumberFormat="1"/>
    <xf numFmtId="165" fontId="2" fillId="3" borderId="1" xfId="0" applyNumberFormat="1" applyFont="1" applyFill="1" applyBorder="1" applyAlignment="1">
      <alignment horizontal="center" vertical="center"/>
    </xf>
    <xf numFmtId="165" fontId="0" fillId="0" borderId="1" xfId="0" applyNumberFormat="1" applyBorder="1"/>
    <xf numFmtId="165"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 fillId="0" borderId="0" xfId="0" applyFont="1" applyAlignment="1"/>
    <xf numFmtId="0" fontId="0" fillId="0" borderId="0" xfId="0" applyAlignment="1"/>
    <xf numFmtId="0" fontId="2" fillId="2" borderId="0" xfId="0" applyFont="1" applyFill="1"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[Office_Expense_Tracker (1) (1).xlsx]Pivot !PivotTable4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Department</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pivotFmt>
    </c:pivotFmts>
    <c:plotArea>
      <c:layout/>
      <c:areaChart>
        <c:grouping val="standard"/>
        <c:varyColors val="0"/>
        <c:ser>
          <c:idx val="0"/>
          <c:order val="0"/>
          <c:tx>
            <c:strRef>
              <c:f>'Pivot '!$B$2:$B$3</c:f>
              <c:strCache>
                <c:ptCount val="1"/>
                <c:pt idx="0">
                  <c:v>Equipment</c:v>
                </c:pt>
              </c:strCache>
            </c:strRef>
          </c:tx>
          <c:spPr>
            <a:solidFill>
              <a:schemeClr val="accent1"/>
            </a:solidFill>
            <a:ln>
              <a:noFill/>
            </a:ln>
            <a:effectLst/>
          </c:spPr>
          <c:cat>
            <c:strRef>
              <c:f>'Pivot '!$A$4:$A$9</c:f>
              <c:strCache>
                <c:ptCount val="5"/>
                <c:pt idx="0">
                  <c:v>HR</c:v>
                </c:pt>
                <c:pt idx="1">
                  <c:v>IT</c:v>
                </c:pt>
                <c:pt idx="2">
                  <c:v>Marketing</c:v>
                </c:pt>
                <c:pt idx="3">
                  <c:v>Operations</c:v>
                </c:pt>
                <c:pt idx="4">
                  <c:v>Sales</c:v>
                </c:pt>
              </c:strCache>
            </c:strRef>
          </c:cat>
          <c:val>
            <c:numRef>
              <c:f>'Pivot '!$B$4:$B$9</c:f>
              <c:numCache>
                <c:formatCode>General</c:formatCode>
                <c:ptCount val="5"/>
                <c:pt idx="0">
                  <c:v>9575.1799999999985</c:v>
                </c:pt>
                <c:pt idx="1">
                  <c:v>42585.299999999996</c:v>
                </c:pt>
                <c:pt idx="2">
                  <c:v>27291.309999999998</c:v>
                </c:pt>
                <c:pt idx="3">
                  <c:v>19985.16</c:v>
                </c:pt>
                <c:pt idx="4">
                  <c:v>19934.740000000002</c:v>
                </c:pt>
              </c:numCache>
            </c:numRef>
          </c:val>
          <c:extLst>
            <c:ext xmlns:c16="http://schemas.microsoft.com/office/drawing/2014/chart" uri="{C3380CC4-5D6E-409C-BE32-E72D297353CC}">
              <c16:uniqueId val="{00000000-2783-4FAB-92F3-5085971B251B}"/>
            </c:ext>
          </c:extLst>
        </c:ser>
        <c:ser>
          <c:idx val="1"/>
          <c:order val="1"/>
          <c:tx>
            <c:strRef>
              <c:f>'Pivot '!$C$2:$C$3</c:f>
              <c:strCache>
                <c:ptCount val="1"/>
                <c:pt idx="0">
                  <c:v>Maintenance</c:v>
                </c:pt>
              </c:strCache>
            </c:strRef>
          </c:tx>
          <c:spPr>
            <a:solidFill>
              <a:schemeClr val="accent2"/>
            </a:solidFill>
            <a:ln w="25400">
              <a:noFill/>
            </a:ln>
            <a:effectLst/>
          </c:spPr>
          <c:cat>
            <c:strRef>
              <c:f>'Pivot '!$A$4:$A$9</c:f>
              <c:strCache>
                <c:ptCount val="5"/>
                <c:pt idx="0">
                  <c:v>HR</c:v>
                </c:pt>
                <c:pt idx="1">
                  <c:v>IT</c:v>
                </c:pt>
                <c:pt idx="2">
                  <c:v>Marketing</c:v>
                </c:pt>
                <c:pt idx="3">
                  <c:v>Operations</c:v>
                </c:pt>
                <c:pt idx="4">
                  <c:v>Sales</c:v>
                </c:pt>
              </c:strCache>
            </c:strRef>
          </c:cat>
          <c:val>
            <c:numRef>
              <c:f>'Pivot '!$C$4:$C$9</c:f>
              <c:numCache>
                <c:formatCode>General</c:formatCode>
                <c:ptCount val="5"/>
                <c:pt idx="0">
                  <c:v>10193.24</c:v>
                </c:pt>
                <c:pt idx="1">
                  <c:v>15630.780000000002</c:v>
                </c:pt>
                <c:pt idx="2">
                  <c:v>18550.940000000002</c:v>
                </c:pt>
                <c:pt idx="3">
                  <c:v>11623.19</c:v>
                </c:pt>
                <c:pt idx="4">
                  <c:v>15441.789999999999</c:v>
                </c:pt>
              </c:numCache>
            </c:numRef>
          </c:val>
          <c:extLst>
            <c:ext xmlns:c16="http://schemas.microsoft.com/office/drawing/2014/chart" uri="{C3380CC4-5D6E-409C-BE32-E72D297353CC}">
              <c16:uniqueId val="{00000001-2783-4FAB-92F3-5085971B251B}"/>
            </c:ext>
          </c:extLst>
        </c:ser>
        <c:ser>
          <c:idx val="2"/>
          <c:order val="2"/>
          <c:tx>
            <c:strRef>
              <c:f>'Pivot '!$D$2:$D$3</c:f>
              <c:strCache>
                <c:ptCount val="1"/>
                <c:pt idx="0">
                  <c:v>Software</c:v>
                </c:pt>
              </c:strCache>
            </c:strRef>
          </c:tx>
          <c:spPr>
            <a:solidFill>
              <a:schemeClr val="accent3"/>
            </a:solidFill>
            <a:ln w="25400">
              <a:noFill/>
            </a:ln>
            <a:effectLst/>
          </c:spPr>
          <c:cat>
            <c:strRef>
              <c:f>'Pivot '!$A$4:$A$9</c:f>
              <c:strCache>
                <c:ptCount val="5"/>
                <c:pt idx="0">
                  <c:v>HR</c:v>
                </c:pt>
                <c:pt idx="1">
                  <c:v>IT</c:v>
                </c:pt>
                <c:pt idx="2">
                  <c:v>Marketing</c:v>
                </c:pt>
                <c:pt idx="3">
                  <c:v>Operations</c:v>
                </c:pt>
                <c:pt idx="4">
                  <c:v>Sales</c:v>
                </c:pt>
              </c:strCache>
            </c:strRef>
          </c:cat>
          <c:val>
            <c:numRef>
              <c:f>'Pivot '!$D$4:$D$9</c:f>
              <c:numCache>
                <c:formatCode>General</c:formatCode>
                <c:ptCount val="5"/>
                <c:pt idx="0">
                  <c:v>13374.130000000001</c:v>
                </c:pt>
                <c:pt idx="1">
                  <c:v>20842.689999999999</c:v>
                </c:pt>
                <c:pt idx="2">
                  <c:v>15400.510000000002</c:v>
                </c:pt>
                <c:pt idx="3">
                  <c:v>14704.03</c:v>
                </c:pt>
                <c:pt idx="4">
                  <c:v>19230.300000000003</c:v>
                </c:pt>
              </c:numCache>
            </c:numRef>
          </c:val>
          <c:extLst>
            <c:ext xmlns:c16="http://schemas.microsoft.com/office/drawing/2014/chart" uri="{C3380CC4-5D6E-409C-BE32-E72D297353CC}">
              <c16:uniqueId val="{00000002-2783-4FAB-92F3-5085971B251B}"/>
            </c:ext>
          </c:extLst>
        </c:ser>
        <c:ser>
          <c:idx val="3"/>
          <c:order val="3"/>
          <c:tx>
            <c:strRef>
              <c:f>'Pivot '!$E$2:$E$3</c:f>
              <c:strCache>
                <c:ptCount val="1"/>
                <c:pt idx="0">
                  <c:v>Supplies</c:v>
                </c:pt>
              </c:strCache>
            </c:strRef>
          </c:tx>
          <c:spPr>
            <a:solidFill>
              <a:schemeClr val="accent4"/>
            </a:solidFill>
            <a:ln>
              <a:noFill/>
            </a:ln>
            <a:effectLst/>
          </c:spPr>
          <c:cat>
            <c:strRef>
              <c:f>'Pivot '!$A$4:$A$9</c:f>
              <c:strCache>
                <c:ptCount val="5"/>
                <c:pt idx="0">
                  <c:v>HR</c:v>
                </c:pt>
                <c:pt idx="1">
                  <c:v>IT</c:v>
                </c:pt>
                <c:pt idx="2">
                  <c:v>Marketing</c:v>
                </c:pt>
                <c:pt idx="3">
                  <c:v>Operations</c:v>
                </c:pt>
                <c:pt idx="4">
                  <c:v>Sales</c:v>
                </c:pt>
              </c:strCache>
            </c:strRef>
          </c:cat>
          <c:val>
            <c:numRef>
              <c:f>'Pivot '!$E$4:$E$9</c:f>
              <c:numCache>
                <c:formatCode>General</c:formatCode>
                <c:ptCount val="5"/>
                <c:pt idx="0">
                  <c:v>9381.82</c:v>
                </c:pt>
                <c:pt idx="1">
                  <c:v>7678.73</c:v>
                </c:pt>
                <c:pt idx="2">
                  <c:v>10964.9</c:v>
                </c:pt>
                <c:pt idx="3">
                  <c:v>4433.42</c:v>
                </c:pt>
                <c:pt idx="4">
                  <c:v>20090.189999999999</c:v>
                </c:pt>
              </c:numCache>
            </c:numRef>
          </c:val>
          <c:extLst>
            <c:ext xmlns:c16="http://schemas.microsoft.com/office/drawing/2014/chart" uri="{C3380CC4-5D6E-409C-BE32-E72D297353CC}">
              <c16:uniqueId val="{00000003-2783-4FAB-92F3-5085971B251B}"/>
            </c:ext>
          </c:extLst>
        </c:ser>
        <c:ser>
          <c:idx val="4"/>
          <c:order val="4"/>
          <c:tx>
            <c:strRef>
              <c:f>'Pivot '!$F$2:$F$3</c:f>
              <c:strCache>
                <c:ptCount val="1"/>
                <c:pt idx="0">
                  <c:v>Training</c:v>
                </c:pt>
              </c:strCache>
            </c:strRef>
          </c:tx>
          <c:spPr>
            <a:solidFill>
              <a:schemeClr val="accent5"/>
            </a:solidFill>
            <a:ln w="25400">
              <a:noFill/>
            </a:ln>
            <a:effectLst/>
          </c:spPr>
          <c:cat>
            <c:strRef>
              <c:f>'Pivot '!$A$4:$A$9</c:f>
              <c:strCache>
                <c:ptCount val="5"/>
                <c:pt idx="0">
                  <c:v>HR</c:v>
                </c:pt>
                <c:pt idx="1">
                  <c:v>IT</c:v>
                </c:pt>
                <c:pt idx="2">
                  <c:v>Marketing</c:v>
                </c:pt>
                <c:pt idx="3">
                  <c:v>Operations</c:v>
                </c:pt>
                <c:pt idx="4">
                  <c:v>Sales</c:v>
                </c:pt>
              </c:strCache>
            </c:strRef>
          </c:cat>
          <c:val>
            <c:numRef>
              <c:f>'Pivot '!$F$4:$F$9</c:f>
              <c:numCache>
                <c:formatCode>General</c:formatCode>
                <c:ptCount val="5"/>
                <c:pt idx="0">
                  <c:v>8554.59</c:v>
                </c:pt>
                <c:pt idx="1">
                  <c:v>10250.59</c:v>
                </c:pt>
                <c:pt idx="2">
                  <c:v>22962.89</c:v>
                </c:pt>
                <c:pt idx="3">
                  <c:v>7341.17</c:v>
                </c:pt>
                <c:pt idx="4">
                  <c:v>15138.529999999999</c:v>
                </c:pt>
              </c:numCache>
            </c:numRef>
          </c:val>
          <c:extLst>
            <c:ext xmlns:c16="http://schemas.microsoft.com/office/drawing/2014/chart" uri="{C3380CC4-5D6E-409C-BE32-E72D297353CC}">
              <c16:uniqueId val="{00000004-2783-4FAB-92F3-5085971B251B}"/>
            </c:ext>
          </c:extLst>
        </c:ser>
        <c:ser>
          <c:idx val="5"/>
          <c:order val="5"/>
          <c:tx>
            <c:strRef>
              <c:f>'Pivot '!$G$2:$G$3</c:f>
              <c:strCache>
                <c:ptCount val="1"/>
                <c:pt idx="0">
                  <c:v>Travel</c:v>
                </c:pt>
              </c:strCache>
            </c:strRef>
          </c:tx>
          <c:spPr>
            <a:solidFill>
              <a:schemeClr val="accent6"/>
            </a:solidFill>
            <a:ln w="25400">
              <a:noFill/>
            </a:ln>
            <a:effectLst/>
          </c:spPr>
          <c:cat>
            <c:strRef>
              <c:f>'Pivot '!$A$4:$A$9</c:f>
              <c:strCache>
                <c:ptCount val="5"/>
                <c:pt idx="0">
                  <c:v>HR</c:v>
                </c:pt>
                <c:pt idx="1">
                  <c:v>IT</c:v>
                </c:pt>
                <c:pt idx="2">
                  <c:v>Marketing</c:v>
                </c:pt>
                <c:pt idx="3">
                  <c:v>Operations</c:v>
                </c:pt>
                <c:pt idx="4">
                  <c:v>Sales</c:v>
                </c:pt>
              </c:strCache>
            </c:strRef>
          </c:cat>
          <c:val>
            <c:numRef>
              <c:f>'Pivot '!$G$4:$G$9</c:f>
              <c:numCache>
                <c:formatCode>General</c:formatCode>
                <c:ptCount val="5"/>
                <c:pt idx="0">
                  <c:v>21899.21</c:v>
                </c:pt>
                <c:pt idx="1">
                  <c:v>13701.89</c:v>
                </c:pt>
                <c:pt idx="2">
                  <c:v>29089.65</c:v>
                </c:pt>
                <c:pt idx="3">
                  <c:v>8470.77</c:v>
                </c:pt>
                <c:pt idx="4">
                  <c:v>9199.1099999999988</c:v>
                </c:pt>
              </c:numCache>
            </c:numRef>
          </c:val>
          <c:extLst>
            <c:ext xmlns:c16="http://schemas.microsoft.com/office/drawing/2014/chart" uri="{C3380CC4-5D6E-409C-BE32-E72D297353CC}">
              <c16:uniqueId val="{00000005-2783-4FAB-92F3-5085971B251B}"/>
            </c:ext>
          </c:extLst>
        </c:ser>
        <c:ser>
          <c:idx val="6"/>
          <c:order val="6"/>
          <c:tx>
            <c:strRef>
              <c:f>'Pivot '!$H$2:$H$3</c:f>
              <c:strCache>
                <c:ptCount val="1"/>
                <c:pt idx="0">
                  <c:v>Utilities</c:v>
                </c:pt>
              </c:strCache>
            </c:strRef>
          </c:tx>
          <c:spPr>
            <a:solidFill>
              <a:schemeClr val="accent1">
                <a:lumMod val="60000"/>
              </a:schemeClr>
            </a:solidFill>
            <a:ln w="25400">
              <a:noFill/>
            </a:ln>
            <a:effectLst/>
          </c:spPr>
          <c:cat>
            <c:strRef>
              <c:f>'Pivot '!$A$4:$A$9</c:f>
              <c:strCache>
                <c:ptCount val="5"/>
                <c:pt idx="0">
                  <c:v>HR</c:v>
                </c:pt>
                <c:pt idx="1">
                  <c:v>IT</c:v>
                </c:pt>
                <c:pt idx="2">
                  <c:v>Marketing</c:v>
                </c:pt>
                <c:pt idx="3">
                  <c:v>Operations</c:v>
                </c:pt>
                <c:pt idx="4">
                  <c:v>Sales</c:v>
                </c:pt>
              </c:strCache>
            </c:strRef>
          </c:cat>
          <c:val>
            <c:numRef>
              <c:f>'Pivot '!$H$4:$H$9</c:f>
              <c:numCache>
                <c:formatCode>General</c:formatCode>
                <c:ptCount val="5"/>
                <c:pt idx="0">
                  <c:v>6173.75</c:v>
                </c:pt>
                <c:pt idx="1">
                  <c:v>19661.18</c:v>
                </c:pt>
                <c:pt idx="2">
                  <c:v>12403.34</c:v>
                </c:pt>
                <c:pt idx="3">
                  <c:v>10477.449999999999</c:v>
                </c:pt>
                <c:pt idx="4">
                  <c:v>27078.039999999997</c:v>
                </c:pt>
              </c:numCache>
            </c:numRef>
          </c:val>
          <c:extLst>
            <c:ext xmlns:c16="http://schemas.microsoft.com/office/drawing/2014/chart" uri="{C3380CC4-5D6E-409C-BE32-E72D297353CC}">
              <c16:uniqueId val="{00000006-2783-4FAB-92F3-5085971B251B}"/>
            </c:ext>
          </c:extLst>
        </c:ser>
        <c:dLbls>
          <c:showLegendKey val="0"/>
          <c:showVal val="0"/>
          <c:showCatName val="0"/>
          <c:showSerName val="0"/>
          <c:showPercent val="0"/>
          <c:showBubbleSize val="0"/>
        </c:dLbls>
        <c:axId val="1539950480"/>
        <c:axId val="1539962992"/>
      </c:areaChart>
      <c:catAx>
        <c:axId val="15399504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9962992"/>
        <c:crosses val="autoZero"/>
        <c:auto val="1"/>
        <c:lblAlgn val="ctr"/>
        <c:lblOffset val="100"/>
        <c:noMultiLvlLbl val="0"/>
      </c:catAx>
      <c:valAx>
        <c:axId val="15399629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995048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[Office_Expense_Tracker (1) (1).xlsx]Pivot !PivotTable1</c:name>
    <c:fmtId val="4"/>
  </c:pivotSource>
  <c:chart>
    <c:title>
      <c:layout>
        <c:manualLayout>
          <c:xMode val="edge"/>
          <c:yMode val="edge"/>
          <c:x val="0.46742977242838935"/>
          <c:y val="5.034987557771131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pivotFmt>
      <c:pivotFmt>
        <c:idx val="1"/>
        <c:spPr>
          <a:solidFill>
            <a:schemeClr val="accent1"/>
          </a:solidFill>
          <a:ln w="25400">
            <a:solidFill>
              <a:schemeClr val="lt1"/>
            </a:solidFill>
          </a:ln>
          <a:effectLst/>
          <a:sp3d contourW="25400">
            <a:contourClr>
              <a:schemeClr val="lt1"/>
            </a:contourClr>
          </a:sp3d>
        </c:spPr>
        <c:marker>
          <c:symbol val="none"/>
        </c:marker>
      </c:pivotFmt>
      <c:pivotFmt>
        <c:idx val="2"/>
        <c:spPr>
          <a:solidFill>
            <a:schemeClr val="accent1"/>
          </a:solidFill>
          <a:ln w="25400">
            <a:solidFill>
              <a:schemeClr val="lt1"/>
            </a:solidFill>
          </a:ln>
          <a:effectLst/>
          <a:sp3d contourW="25400">
            <a:contourClr>
              <a:schemeClr val="lt1"/>
            </a:contourClr>
          </a:sp3d>
        </c:spPr>
        <c:marker>
          <c:symbol val="none"/>
        </c:marker>
      </c:pivotFmt>
      <c:pivotFmt>
        <c:idx val="3"/>
        <c:spPr>
          <a:solidFill>
            <a:schemeClr val="accent1"/>
          </a:solidFill>
          <a:ln w="25400">
            <a:solidFill>
              <a:schemeClr val="lt1"/>
            </a:solidFill>
          </a:ln>
          <a:effectLst/>
          <a:sp3d contourW="25400">
            <a:contourClr>
              <a:schemeClr val="lt1"/>
            </a:contourClr>
          </a:sp3d>
        </c:spPr>
        <c:marker>
          <c:symbol val="none"/>
        </c:marker>
      </c:pivotFmt>
      <c:pivotFmt>
        <c:idx val="4"/>
        <c:spPr>
          <a:solidFill>
            <a:schemeClr val="accent1"/>
          </a:solidFill>
          <a:ln w="25400">
            <a:solidFill>
              <a:schemeClr val="lt1"/>
            </a:solidFill>
          </a:ln>
          <a:effectLst/>
          <a:sp3d contourW="25400">
            <a:contourClr>
              <a:schemeClr val="lt1"/>
            </a:contourClr>
          </a:sp3d>
        </c:spPr>
        <c:marker>
          <c:symbol val="none"/>
        </c:marker>
      </c:pivotFmt>
      <c:pivotFmt>
        <c:idx val="5"/>
        <c:spPr>
          <a:solidFill>
            <a:schemeClr val="accent1"/>
          </a:solidFill>
          <a:ln w="25400">
            <a:solidFill>
              <a:schemeClr val="lt1"/>
            </a:solidFill>
          </a:ln>
          <a:effectLst/>
          <a:sp3d contourW="25400">
            <a:contourClr>
              <a:schemeClr val="lt1"/>
            </a:contourClr>
          </a:sp3d>
        </c:spPr>
        <c:marker>
          <c:symbol val="none"/>
        </c:marke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marker>
          <c:symbol val="none"/>
        </c:marke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marker>
          <c:symbol val="none"/>
        </c:marke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marker>
          <c:symbol val="none"/>
        </c:marke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marker>
          <c:symbol val="none"/>
        </c:marker>
      </c:pivotFmt>
      <c:pivotFmt>
        <c:idx val="22"/>
        <c:spPr>
          <a:solidFill>
            <a:schemeClr val="accent1"/>
          </a:solidFill>
          <a:ln w="25400">
            <a:solidFill>
              <a:schemeClr val="lt1"/>
            </a:solidFill>
          </a:ln>
          <a:effectLst/>
          <a:sp3d contourW="25400">
            <a:contourClr>
              <a:schemeClr val="lt1"/>
            </a:contourClr>
          </a:sp3d>
        </c:spPr>
      </c:pivotFmt>
      <c:pivotFmt>
        <c:idx val="23"/>
        <c:spPr>
          <a:solidFill>
            <a:schemeClr val="accent1"/>
          </a:solidFill>
          <a:ln w="25400">
            <a:solidFill>
              <a:schemeClr val="lt1"/>
            </a:solidFill>
          </a:ln>
          <a:effectLst/>
          <a:sp3d contourW="25400">
            <a:contourClr>
              <a:schemeClr val="lt1"/>
            </a:contourClr>
          </a:sp3d>
        </c:spPr>
      </c:pivotFmt>
      <c:pivotFmt>
        <c:idx val="24"/>
        <c:spPr>
          <a:solidFill>
            <a:schemeClr val="accent1"/>
          </a:solidFill>
          <a:ln w="25400">
            <a:solidFill>
              <a:schemeClr val="lt1"/>
            </a:solidFill>
          </a:ln>
          <a:effectLst/>
          <a:sp3d contourW="25400">
            <a:contourClr>
              <a:schemeClr val="lt1"/>
            </a:contourClr>
          </a:sp3d>
        </c:spPr>
      </c:pivotFmt>
      <c:pivotFmt>
        <c:idx val="25"/>
        <c:spPr>
          <a:solidFill>
            <a:schemeClr val="bg2">
              <a:lumMod val="25000"/>
            </a:schemeClr>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3">
              <a:lumMod val="75000"/>
            </a:schemeClr>
          </a:solidFill>
          <a:ln w="25400">
            <a:solidFill>
              <a:schemeClr val="lt1"/>
            </a:solidFill>
          </a:ln>
          <a:effectLst/>
          <a:sp3d contourW="25400">
            <a:contourClr>
              <a:schemeClr val="lt1"/>
            </a:contourClr>
          </a:sp3d>
        </c:spPr>
      </c:pivotFmt>
      <c:pivotFmt>
        <c:idx val="27"/>
        <c:spPr>
          <a:solidFill>
            <a:schemeClr val="accent6">
              <a:lumMod val="75000"/>
            </a:schemeClr>
          </a:solidFill>
          <a:ln w="25400">
            <a:solidFill>
              <a:schemeClr val="lt1"/>
            </a:solidFill>
          </a:ln>
          <a:effectLst/>
          <a:sp3d contourW="25400">
            <a:contourClr>
              <a:schemeClr val="lt1"/>
            </a:contourClr>
          </a:sp3d>
        </c:spPr>
      </c:pivotFmt>
      <c:pivotFmt>
        <c:idx val="28"/>
        <c:spPr>
          <a:solidFill>
            <a:schemeClr val="accent4">
              <a:lumMod val="75000"/>
            </a:schemeClr>
          </a:solidFill>
          <a:ln w="25400">
            <a:solidFill>
              <a:schemeClr val="lt1"/>
            </a:solidFill>
          </a:ln>
          <a:effectLst/>
          <a:sp3d contourW="25400">
            <a:contourClr>
              <a:schemeClr val="lt1"/>
            </a:contourClr>
          </a:sp3d>
        </c:spPr>
      </c:pivotFmt>
      <c:pivotFmt>
        <c:idx val="29"/>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5400">
            <a:solidFill>
              <a:schemeClr val="lt1"/>
            </a:solidFill>
          </a:ln>
          <a:effectLst/>
          <a:sp3d contourW="25400">
            <a:contourClr>
              <a:schemeClr val="lt1"/>
            </a:contourClr>
          </a:sp3d>
        </c:spPr>
      </c:pivotFmt>
      <c:pivotFmt>
        <c:idx val="31"/>
        <c:spPr>
          <a:solidFill>
            <a:schemeClr val="accent1"/>
          </a:solidFill>
          <a:ln w="25400">
            <a:solidFill>
              <a:schemeClr val="lt1"/>
            </a:solidFill>
          </a:ln>
          <a:effectLst/>
          <a:sp3d contourW="25400">
            <a:contourClr>
              <a:schemeClr val="lt1"/>
            </a:contourClr>
          </a:sp3d>
        </c:spPr>
      </c:pivotFmt>
      <c:pivotFmt>
        <c:idx val="32"/>
        <c:spPr>
          <a:solidFill>
            <a:schemeClr val="accent1"/>
          </a:solidFill>
          <a:ln w="25400">
            <a:solidFill>
              <a:schemeClr val="lt1"/>
            </a:solidFill>
          </a:ln>
          <a:effectLst/>
          <a:sp3d contourW="25400">
            <a:contourClr>
              <a:schemeClr val="lt1"/>
            </a:contourClr>
          </a:sp3d>
        </c:spPr>
      </c:pivotFmt>
      <c:pivotFmt>
        <c:idx val="3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5400">
            <a:solidFill>
              <a:schemeClr val="lt1"/>
            </a:solidFill>
          </a:ln>
          <a:effectLst/>
          <a:sp3d contourW="25400">
            <a:contourClr>
              <a:schemeClr val="lt1"/>
            </a:contourClr>
          </a:sp3d>
        </c:spPr>
      </c:pivotFmt>
      <c:pivotFmt>
        <c:idx val="35"/>
        <c:spPr>
          <a:solidFill>
            <a:schemeClr val="accent1"/>
          </a:solidFill>
          <a:ln w="25400">
            <a:solidFill>
              <a:schemeClr val="lt1"/>
            </a:solidFill>
          </a:ln>
          <a:effectLst/>
          <a:sp3d contourW="25400">
            <a:contourClr>
              <a:schemeClr val="lt1"/>
            </a:contourClr>
          </a:sp3d>
        </c:spPr>
      </c:pivotFmt>
      <c:pivotFmt>
        <c:idx val="36"/>
        <c:spPr>
          <a:solidFill>
            <a:schemeClr val="accent1"/>
          </a:solidFill>
          <a:ln w="25400">
            <a:solidFill>
              <a:schemeClr val="lt1"/>
            </a:solidFill>
          </a:ln>
          <a:effectLst/>
          <a:sp3d contourW="25400">
            <a:contourClr>
              <a:schemeClr val="lt1"/>
            </a:contourClr>
          </a:sp3d>
        </c:spPr>
      </c:pivotFmt>
      <c:pivotFmt>
        <c:idx val="37"/>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5400">
            <a:solidFill>
              <a:schemeClr val="lt1"/>
            </a:solidFill>
          </a:ln>
          <a:effectLst/>
          <a:sp3d contourW="25400">
            <a:contourClr>
              <a:schemeClr val="lt1"/>
            </a:contourClr>
          </a:sp3d>
        </c:spPr>
      </c:pivotFmt>
      <c:pivotFmt>
        <c:idx val="39"/>
        <c:spPr>
          <a:solidFill>
            <a:schemeClr val="accent1"/>
          </a:solidFill>
          <a:ln w="25400">
            <a:solidFill>
              <a:schemeClr val="lt1"/>
            </a:solidFill>
          </a:ln>
          <a:effectLst/>
          <a:sp3d contourW="25400">
            <a:contourClr>
              <a:schemeClr val="lt1"/>
            </a:contourClr>
          </a:sp3d>
        </c:spPr>
      </c:pivotFmt>
      <c:pivotFmt>
        <c:idx val="40"/>
        <c:spPr>
          <a:solidFill>
            <a:schemeClr val="accent1"/>
          </a:solidFill>
          <a:ln w="25400">
            <a:solidFill>
              <a:schemeClr val="lt1"/>
            </a:solidFill>
          </a:ln>
          <a:effectLst/>
          <a:sp3d contourW="25400">
            <a:contourClr>
              <a:schemeClr val="lt1"/>
            </a:contourClr>
          </a:sp3d>
        </c:spPr>
      </c:pivotFmt>
      <c:pivotFmt>
        <c:idx val="4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5400">
            <a:solidFill>
              <a:schemeClr val="lt1"/>
            </a:solidFill>
          </a:ln>
          <a:effectLst/>
          <a:sp3d contourW="25400">
            <a:contourClr>
              <a:schemeClr val="lt1"/>
            </a:contourClr>
          </a:sp3d>
        </c:spPr>
      </c:pivotFmt>
      <c:pivotFmt>
        <c:idx val="43"/>
        <c:spPr>
          <a:solidFill>
            <a:schemeClr val="accent1"/>
          </a:solidFill>
          <a:ln w="25400">
            <a:solidFill>
              <a:schemeClr val="lt1"/>
            </a:solidFill>
          </a:ln>
          <a:effectLst/>
          <a:sp3d contourW="25400">
            <a:contourClr>
              <a:schemeClr val="lt1"/>
            </a:contourClr>
          </a:sp3d>
        </c:spPr>
      </c:pivotFmt>
      <c:pivotFmt>
        <c:idx val="44"/>
        <c:spPr>
          <a:solidFill>
            <a:schemeClr val="accent1"/>
          </a:solidFill>
          <a:ln w="25400">
            <a:solidFill>
              <a:schemeClr val="lt1"/>
            </a:solidFill>
          </a:ln>
          <a:effectLst/>
          <a:sp3d contourW="25400">
            <a:contourClr>
              <a:schemeClr val="lt1"/>
            </a:contourClr>
          </a:sp3d>
        </c:spPr>
      </c:pivotFmt>
      <c:pivotFmt>
        <c:idx val="45"/>
        <c:spPr>
          <a:solidFill>
            <a:schemeClr val="accent1"/>
          </a:solidFill>
          <a:ln w="25400">
            <a:solidFill>
              <a:schemeClr val="lt1"/>
            </a:solidFill>
          </a:ln>
          <a:effectLst/>
          <a:sp3d contourW="25400">
            <a:contourClr>
              <a:schemeClr val="lt1"/>
            </a:contourClr>
          </a:sp3d>
        </c:spPr>
        <c:marker>
          <c:symbol val="none"/>
        </c:marke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7777777777777776E-2"/>
          <c:y val="0.25803954503689347"/>
          <c:w val="0.96790397567962239"/>
          <c:h val="0.60747328730158812"/>
        </c:manualLayout>
      </c:layout>
      <c:pie3DChart>
        <c:varyColors val="1"/>
        <c:ser>
          <c:idx val="0"/>
          <c:order val="0"/>
          <c:tx>
            <c:strRef>
              <c:f>'Pivot '!$E$13:$E$14</c:f>
              <c:strCache>
                <c:ptCount val="1"/>
                <c:pt idx="0">
                  <c:v>HR</c:v>
                </c:pt>
              </c:strCache>
            </c:strRef>
          </c:tx>
          <c:spPr>
            <a:solidFill>
              <a:schemeClr val="bg2">
                <a:lumMod val="25000"/>
              </a:schemeClr>
            </a:solidFill>
          </c:spPr>
          <c:dPt>
            <c:idx val="0"/>
            <c:bubble3D val="0"/>
            <c:spPr>
              <a:solidFill>
                <a:schemeClr val="accent3">
                  <a:lumMod val="7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203E-43A3-A9C0-7C60281F2E8E}"/>
              </c:ext>
            </c:extLst>
          </c:dPt>
          <c:dPt>
            <c:idx val="1"/>
            <c:bubble3D val="0"/>
            <c:spPr>
              <a:solidFill>
                <a:schemeClr val="accent6">
                  <a:lumMod val="7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203E-43A3-A9C0-7C60281F2E8E}"/>
              </c:ext>
            </c:extLst>
          </c:dPt>
          <c:dPt>
            <c:idx val="2"/>
            <c:bubble3D val="0"/>
            <c:spPr>
              <a:solidFill>
                <a:schemeClr val="accent4">
                  <a:lumMod val="7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5-203E-43A3-A9C0-7C60281F2E8E}"/>
              </c:ext>
            </c:extLst>
          </c:dPt>
          <c:cat>
            <c:strRef>
              <c:f>'Pivot '!$D$15:$D$18</c:f>
              <c:strCache>
                <c:ptCount val="3"/>
                <c:pt idx="0">
                  <c:v>Approved</c:v>
                </c:pt>
                <c:pt idx="1">
                  <c:v>Pending</c:v>
                </c:pt>
                <c:pt idx="2">
                  <c:v>Reimbursed</c:v>
                </c:pt>
              </c:strCache>
            </c:strRef>
          </c:cat>
          <c:val>
            <c:numRef>
              <c:f>'Pivot '!$E$15:$E$18</c:f>
              <c:numCache>
                <c:formatCode>General</c:formatCode>
                <c:ptCount val="3"/>
                <c:pt idx="0">
                  <c:v>70442.460000000006</c:v>
                </c:pt>
                <c:pt idx="1">
                  <c:v>822.96</c:v>
                </c:pt>
                <c:pt idx="2">
                  <c:v>7886.4999999999991</c:v>
                </c:pt>
              </c:numCache>
            </c:numRef>
          </c:val>
          <c:extLst>
            <c:ext xmlns:c16="http://schemas.microsoft.com/office/drawing/2014/chart" uri="{C3380CC4-5D6E-409C-BE32-E72D297353CC}">
              <c16:uniqueId val="{00000006-203E-43A3-A9C0-7C60281F2E8E}"/>
            </c:ext>
          </c:extLst>
        </c:ser>
        <c:ser>
          <c:idx val="1"/>
          <c:order val="1"/>
          <c:tx>
            <c:strRef>
              <c:f>'Pivot '!$F$13:$F$14</c:f>
              <c:strCache>
                <c:ptCount val="1"/>
                <c:pt idx="0">
                  <c:v>IT</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8-203E-43A3-A9C0-7C60281F2E8E}"/>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A-203E-43A3-A9C0-7C60281F2E8E}"/>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C-203E-43A3-A9C0-7C60281F2E8E}"/>
              </c:ext>
            </c:extLst>
          </c:dPt>
          <c:cat>
            <c:strRef>
              <c:f>'Pivot '!$D$15:$D$18</c:f>
              <c:strCache>
                <c:ptCount val="3"/>
                <c:pt idx="0">
                  <c:v>Approved</c:v>
                </c:pt>
                <c:pt idx="1">
                  <c:v>Pending</c:v>
                </c:pt>
                <c:pt idx="2">
                  <c:v>Reimbursed</c:v>
                </c:pt>
              </c:strCache>
            </c:strRef>
          </c:cat>
          <c:val>
            <c:numRef>
              <c:f>'Pivot '!$F$15:$F$18</c:f>
              <c:numCache>
                <c:formatCode>General</c:formatCode>
                <c:ptCount val="3"/>
                <c:pt idx="0">
                  <c:v>71475.16</c:v>
                </c:pt>
                <c:pt idx="1">
                  <c:v>20391.109999999997</c:v>
                </c:pt>
                <c:pt idx="2">
                  <c:v>38484.89</c:v>
                </c:pt>
              </c:numCache>
            </c:numRef>
          </c:val>
          <c:extLst>
            <c:ext xmlns:c16="http://schemas.microsoft.com/office/drawing/2014/chart" uri="{C3380CC4-5D6E-409C-BE32-E72D297353CC}">
              <c16:uniqueId val="{0000000D-203E-43A3-A9C0-7C60281F2E8E}"/>
            </c:ext>
          </c:extLst>
        </c:ser>
        <c:ser>
          <c:idx val="2"/>
          <c:order val="2"/>
          <c:tx>
            <c:strRef>
              <c:f>'Pivot '!$G$13:$G$14</c:f>
              <c:strCache>
                <c:ptCount val="1"/>
                <c:pt idx="0">
                  <c:v>Marketing</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F-203E-43A3-A9C0-7C60281F2E8E}"/>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11-203E-43A3-A9C0-7C60281F2E8E}"/>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13-203E-43A3-A9C0-7C60281F2E8E}"/>
              </c:ext>
            </c:extLst>
          </c:dPt>
          <c:cat>
            <c:strRef>
              <c:f>'Pivot '!$D$15:$D$18</c:f>
              <c:strCache>
                <c:ptCount val="3"/>
                <c:pt idx="0">
                  <c:v>Approved</c:v>
                </c:pt>
                <c:pt idx="1">
                  <c:v>Pending</c:v>
                </c:pt>
                <c:pt idx="2">
                  <c:v>Reimbursed</c:v>
                </c:pt>
              </c:strCache>
            </c:strRef>
          </c:cat>
          <c:val>
            <c:numRef>
              <c:f>'Pivot '!$G$15:$G$18</c:f>
              <c:numCache>
                <c:formatCode>General</c:formatCode>
                <c:ptCount val="3"/>
                <c:pt idx="0">
                  <c:v>81279.839999999997</c:v>
                </c:pt>
                <c:pt idx="1">
                  <c:v>26910.719999999998</c:v>
                </c:pt>
                <c:pt idx="2">
                  <c:v>28472.979999999996</c:v>
                </c:pt>
              </c:numCache>
            </c:numRef>
          </c:val>
          <c:extLst>
            <c:ext xmlns:c16="http://schemas.microsoft.com/office/drawing/2014/chart" uri="{C3380CC4-5D6E-409C-BE32-E72D297353CC}">
              <c16:uniqueId val="{00000014-203E-43A3-A9C0-7C60281F2E8E}"/>
            </c:ext>
          </c:extLst>
        </c:ser>
        <c:ser>
          <c:idx val="3"/>
          <c:order val="3"/>
          <c:tx>
            <c:strRef>
              <c:f>'Pivot '!$H$13:$H$14</c:f>
              <c:strCache>
                <c:ptCount val="1"/>
                <c:pt idx="0">
                  <c:v>Operations</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16-203E-43A3-A9C0-7C60281F2E8E}"/>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18-203E-43A3-A9C0-7C60281F2E8E}"/>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1A-203E-43A3-A9C0-7C60281F2E8E}"/>
              </c:ext>
            </c:extLst>
          </c:dPt>
          <c:cat>
            <c:strRef>
              <c:f>'Pivot '!$D$15:$D$18</c:f>
              <c:strCache>
                <c:ptCount val="3"/>
                <c:pt idx="0">
                  <c:v>Approved</c:v>
                </c:pt>
                <c:pt idx="1">
                  <c:v>Pending</c:v>
                </c:pt>
                <c:pt idx="2">
                  <c:v>Reimbursed</c:v>
                </c:pt>
              </c:strCache>
            </c:strRef>
          </c:cat>
          <c:val>
            <c:numRef>
              <c:f>'Pivot '!$H$15:$H$18</c:f>
              <c:numCache>
                <c:formatCode>General</c:formatCode>
                <c:ptCount val="3"/>
                <c:pt idx="0">
                  <c:v>39001.299999999996</c:v>
                </c:pt>
                <c:pt idx="1">
                  <c:v>33897.39</c:v>
                </c:pt>
                <c:pt idx="2">
                  <c:v>4136.5</c:v>
                </c:pt>
              </c:numCache>
            </c:numRef>
          </c:val>
          <c:extLst>
            <c:ext xmlns:c16="http://schemas.microsoft.com/office/drawing/2014/chart" uri="{C3380CC4-5D6E-409C-BE32-E72D297353CC}">
              <c16:uniqueId val="{0000001B-203E-43A3-A9C0-7C60281F2E8E}"/>
            </c:ext>
          </c:extLst>
        </c:ser>
        <c:ser>
          <c:idx val="4"/>
          <c:order val="4"/>
          <c:tx>
            <c:strRef>
              <c:f>'Pivot '!$I$13:$I$14</c:f>
              <c:strCache>
                <c:ptCount val="1"/>
                <c:pt idx="0">
                  <c:v>Sales</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1D-203E-43A3-A9C0-7C60281F2E8E}"/>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1F-203E-43A3-A9C0-7C60281F2E8E}"/>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21-203E-43A3-A9C0-7C60281F2E8E}"/>
              </c:ext>
            </c:extLst>
          </c:dPt>
          <c:cat>
            <c:strRef>
              <c:f>'Pivot '!$D$15:$D$18</c:f>
              <c:strCache>
                <c:ptCount val="3"/>
                <c:pt idx="0">
                  <c:v>Approved</c:v>
                </c:pt>
                <c:pt idx="1">
                  <c:v>Pending</c:v>
                </c:pt>
                <c:pt idx="2">
                  <c:v>Reimbursed</c:v>
                </c:pt>
              </c:strCache>
            </c:strRef>
          </c:cat>
          <c:val>
            <c:numRef>
              <c:f>'Pivot '!$I$15:$I$18</c:f>
              <c:numCache>
                <c:formatCode>General</c:formatCode>
                <c:ptCount val="3"/>
                <c:pt idx="0">
                  <c:v>54295.669999999991</c:v>
                </c:pt>
                <c:pt idx="1">
                  <c:v>38846.240000000005</c:v>
                </c:pt>
                <c:pt idx="2">
                  <c:v>32970.79</c:v>
                </c:pt>
              </c:numCache>
            </c:numRef>
          </c:val>
          <c:extLst>
            <c:ext xmlns:c16="http://schemas.microsoft.com/office/drawing/2014/chart" uri="{C3380CC4-5D6E-409C-BE32-E72D297353CC}">
              <c16:uniqueId val="{00000022-203E-43A3-A9C0-7C60281F2E8E}"/>
            </c:ext>
          </c:extLst>
        </c:ser>
        <c:dLbls>
          <c:showLegendKey val="0"/>
          <c:showVal val="0"/>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[Office_Expense_Tracker (1) (1).xlsx]Pivot !PivotTable1</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637CEF"/>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637CEF"/>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637CEF"/>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637CEF"/>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637CEF"/>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'!$E$13:$E$14</c:f>
              <c:strCache>
                <c:ptCount val="1"/>
                <c:pt idx="0">
                  <c:v>HR</c:v>
                </c:pt>
              </c:strCache>
            </c:strRef>
          </c:tx>
          <c:dPt>
            <c:idx val="0"/>
            <c:bubble3D val="0"/>
            <c:spPr>
              <a:solidFill>
                <a:srgbClr val="637CEF"/>
              </a:solidFill>
              <a:ln w="19050">
                <a:solidFill>
                  <a:schemeClr val="lt1"/>
                </a:solidFill>
              </a:ln>
              <a:effectLst/>
            </c:spPr>
          </c:dPt>
          <c:dPt>
            <c:idx val="1"/>
            <c:bubble3D val="0"/>
            <c:spPr>
              <a:solidFill>
                <a:srgbClr val="E3008C"/>
              </a:solidFill>
              <a:ln w="19050">
                <a:solidFill>
                  <a:schemeClr val="lt1"/>
                </a:solidFill>
              </a:ln>
              <a:effectLst/>
            </c:spPr>
          </c:dPt>
          <c:dPt>
            <c:idx val="2"/>
            <c:bubble3D val="0"/>
            <c:spPr>
              <a:solidFill>
                <a:srgbClr val="2AA0A4"/>
              </a:solidFill>
              <a:ln w="19050">
                <a:solidFill>
                  <a:schemeClr val="lt1"/>
                </a:solidFill>
              </a:ln>
              <a:effectLst/>
            </c:spPr>
          </c:dPt>
          <c:cat>
            <c:strRef>
              <c:f>'Pivot '!$D$15:$D$18</c:f>
              <c:strCache>
                <c:ptCount val="3"/>
                <c:pt idx="0">
                  <c:v>Approved</c:v>
                </c:pt>
                <c:pt idx="1">
                  <c:v>Pending</c:v>
                </c:pt>
                <c:pt idx="2">
                  <c:v>Reimbursed</c:v>
                </c:pt>
              </c:strCache>
            </c:strRef>
          </c:cat>
          <c:val>
            <c:numRef>
              <c:f>'Pivot '!$E$15:$E$18</c:f>
              <c:numCache>
                <c:formatCode>General</c:formatCode>
                <c:ptCount val="3"/>
                <c:pt idx="0">
                  <c:v>70442.460000000006</c:v>
                </c:pt>
                <c:pt idx="1">
                  <c:v>822.96</c:v>
                </c:pt>
                <c:pt idx="2">
                  <c:v>7886.4999999999991</c:v>
                </c:pt>
              </c:numCache>
            </c:numRef>
          </c:val>
          <c:extLst>
            <c:ext xmlns:c16="http://schemas.microsoft.com/office/drawing/2014/chart" uri="{C3380CC4-5D6E-409C-BE32-E72D297353CC}">
              <c16:uniqueId val="{00000000-5A46-49C7-8BE5-334036760C67}"/>
            </c:ext>
          </c:extLst>
        </c:ser>
        <c:ser>
          <c:idx val="1"/>
          <c:order val="1"/>
          <c:tx>
            <c:strRef>
              <c:f>'Pivot '!$F$13:$F$14</c:f>
              <c:strCache>
                <c:ptCount val="1"/>
                <c:pt idx="0">
                  <c:v>IT</c:v>
                </c:pt>
              </c:strCache>
            </c:strRef>
          </c:tx>
          <c:dPt>
            <c:idx val="0"/>
            <c:bubble3D val="0"/>
            <c:spPr>
              <a:solidFill>
                <a:srgbClr val="637CEF"/>
              </a:solidFill>
              <a:ln w="19050">
                <a:solidFill>
                  <a:schemeClr val="lt1"/>
                </a:solidFill>
              </a:ln>
              <a:effectLst/>
            </c:spPr>
          </c:dPt>
          <c:dPt>
            <c:idx val="1"/>
            <c:bubble3D val="0"/>
            <c:spPr>
              <a:solidFill>
                <a:srgbClr val="E3008C"/>
              </a:solidFill>
              <a:ln w="19050">
                <a:solidFill>
                  <a:schemeClr val="lt1"/>
                </a:solidFill>
              </a:ln>
              <a:effectLst/>
            </c:spPr>
          </c:dPt>
          <c:dPt>
            <c:idx val="2"/>
            <c:bubble3D val="0"/>
            <c:spPr>
              <a:solidFill>
                <a:srgbClr val="2AA0A4"/>
              </a:solidFill>
              <a:ln w="19050">
                <a:solidFill>
                  <a:schemeClr val="lt1"/>
                </a:solidFill>
              </a:ln>
              <a:effectLst/>
            </c:spPr>
          </c:dPt>
          <c:cat>
            <c:strRef>
              <c:f>'Pivot '!$D$15:$D$18</c:f>
              <c:strCache>
                <c:ptCount val="3"/>
                <c:pt idx="0">
                  <c:v>Approved</c:v>
                </c:pt>
                <c:pt idx="1">
                  <c:v>Pending</c:v>
                </c:pt>
                <c:pt idx="2">
                  <c:v>Reimbursed</c:v>
                </c:pt>
              </c:strCache>
            </c:strRef>
          </c:cat>
          <c:val>
            <c:numRef>
              <c:f>'Pivot '!$F$15:$F$18</c:f>
              <c:numCache>
                <c:formatCode>General</c:formatCode>
                <c:ptCount val="3"/>
                <c:pt idx="0">
                  <c:v>71475.16</c:v>
                </c:pt>
                <c:pt idx="1">
                  <c:v>20391.109999999997</c:v>
                </c:pt>
                <c:pt idx="2">
                  <c:v>38484.89</c:v>
                </c:pt>
              </c:numCache>
            </c:numRef>
          </c:val>
          <c:extLst>
            <c:ext xmlns:c16="http://schemas.microsoft.com/office/drawing/2014/chart" uri="{C3380CC4-5D6E-409C-BE32-E72D297353CC}">
              <c16:uniqueId val="{00000002-5A46-49C7-8BE5-334036760C67}"/>
            </c:ext>
          </c:extLst>
        </c:ser>
        <c:ser>
          <c:idx val="2"/>
          <c:order val="2"/>
          <c:tx>
            <c:strRef>
              <c:f>'Pivot '!$G$13:$G$14</c:f>
              <c:strCache>
                <c:ptCount val="1"/>
                <c:pt idx="0">
                  <c:v>Marketing</c:v>
                </c:pt>
              </c:strCache>
            </c:strRef>
          </c:tx>
          <c:dPt>
            <c:idx val="0"/>
            <c:bubble3D val="0"/>
            <c:spPr>
              <a:solidFill>
                <a:srgbClr val="637CEF"/>
              </a:solidFill>
              <a:ln w="19050">
                <a:solidFill>
                  <a:schemeClr val="lt1"/>
                </a:solidFill>
              </a:ln>
              <a:effectLst/>
            </c:spPr>
          </c:dPt>
          <c:dPt>
            <c:idx val="1"/>
            <c:bubble3D val="0"/>
            <c:spPr>
              <a:solidFill>
                <a:srgbClr val="E3008C"/>
              </a:solidFill>
              <a:ln w="19050">
                <a:solidFill>
                  <a:schemeClr val="lt1"/>
                </a:solidFill>
              </a:ln>
              <a:effectLst/>
            </c:spPr>
          </c:dPt>
          <c:dPt>
            <c:idx val="2"/>
            <c:bubble3D val="0"/>
            <c:spPr>
              <a:solidFill>
                <a:srgbClr val="2AA0A4"/>
              </a:solidFill>
              <a:ln w="19050">
                <a:solidFill>
                  <a:schemeClr val="lt1"/>
                </a:solidFill>
              </a:ln>
              <a:effectLst/>
            </c:spPr>
          </c:dPt>
          <c:cat>
            <c:strRef>
              <c:f>'Pivot '!$D$15:$D$18</c:f>
              <c:strCache>
                <c:ptCount val="3"/>
                <c:pt idx="0">
                  <c:v>Approved</c:v>
                </c:pt>
                <c:pt idx="1">
                  <c:v>Pending</c:v>
                </c:pt>
                <c:pt idx="2">
                  <c:v>Reimbursed</c:v>
                </c:pt>
              </c:strCache>
            </c:strRef>
          </c:cat>
          <c:val>
            <c:numRef>
              <c:f>'Pivot '!$G$15:$G$18</c:f>
              <c:numCache>
                <c:formatCode>General</c:formatCode>
                <c:ptCount val="3"/>
                <c:pt idx="0">
                  <c:v>81279.839999999997</c:v>
                </c:pt>
                <c:pt idx="1">
                  <c:v>26910.719999999998</c:v>
                </c:pt>
                <c:pt idx="2">
                  <c:v>28472.979999999996</c:v>
                </c:pt>
              </c:numCache>
            </c:numRef>
          </c:val>
          <c:extLst>
            <c:ext xmlns:c16="http://schemas.microsoft.com/office/drawing/2014/chart" uri="{C3380CC4-5D6E-409C-BE32-E72D297353CC}">
              <c16:uniqueId val="{00000004-5A46-49C7-8BE5-334036760C67}"/>
            </c:ext>
          </c:extLst>
        </c:ser>
        <c:ser>
          <c:idx val="3"/>
          <c:order val="3"/>
          <c:tx>
            <c:strRef>
              <c:f>'Pivot '!$H$13:$H$14</c:f>
              <c:strCache>
                <c:ptCount val="1"/>
                <c:pt idx="0">
                  <c:v>Operations</c:v>
                </c:pt>
              </c:strCache>
            </c:strRef>
          </c:tx>
          <c:dPt>
            <c:idx val="0"/>
            <c:bubble3D val="0"/>
            <c:spPr>
              <a:solidFill>
                <a:srgbClr val="637CEF"/>
              </a:solidFill>
              <a:ln w="19050">
                <a:solidFill>
                  <a:schemeClr val="lt1"/>
                </a:solidFill>
              </a:ln>
              <a:effectLst/>
            </c:spPr>
          </c:dPt>
          <c:dPt>
            <c:idx val="1"/>
            <c:bubble3D val="0"/>
            <c:spPr>
              <a:solidFill>
                <a:srgbClr val="E3008C"/>
              </a:solidFill>
              <a:ln w="19050">
                <a:solidFill>
                  <a:schemeClr val="lt1"/>
                </a:solidFill>
              </a:ln>
              <a:effectLst/>
            </c:spPr>
          </c:dPt>
          <c:dPt>
            <c:idx val="2"/>
            <c:bubble3D val="0"/>
            <c:spPr>
              <a:solidFill>
                <a:srgbClr val="2AA0A4"/>
              </a:solidFill>
              <a:ln w="19050">
                <a:solidFill>
                  <a:schemeClr val="lt1"/>
                </a:solidFill>
              </a:ln>
              <a:effectLst/>
            </c:spPr>
          </c:dPt>
          <c:cat>
            <c:strRef>
              <c:f>'Pivot '!$D$15:$D$18</c:f>
              <c:strCache>
                <c:ptCount val="3"/>
                <c:pt idx="0">
                  <c:v>Approved</c:v>
                </c:pt>
                <c:pt idx="1">
                  <c:v>Pending</c:v>
                </c:pt>
                <c:pt idx="2">
                  <c:v>Reimbursed</c:v>
                </c:pt>
              </c:strCache>
            </c:strRef>
          </c:cat>
          <c:val>
            <c:numRef>
              <c:f>'Pivot '!$H$15:$H$18</c:f>
              <c:numCache>
                <c:formatCode>General</c:formatCode>
                <c:ptCount val="3"/>
                <c:pt idx="0">
                  <c:v>39001.299999999996</c:v>
                </c:pt>
                <c:pt idx="1">
                  <c:v>33897.39</c:v>
                </c:pt>
                <c:pt idx="2">
                  <c:v>4136.5</c:v>
                </c:pt>
              </c:numCache>
            </c:numRef>
          </c:val>
          <c:extLst>
            <c:ext xmlns:c16="http://schemas.microsoft.com/office/drawing/2014/chart" uri="{C3380CC4-5D6E-409C-BE32-E72D297353CC}">
              <c16:uniqueId val="{00000006-5A46-49C7-8BE5-334036760C67}"/>
            </c:ext>
          </c:extLst>
        </c:ser>
        <c:ser>
          <c:idx val="4"/>
          <c:order val="4"/>
          <c:tx>
            <c:strRef>
              <c:f>'Pivot '!$I$13:$I$14</c:f>
              <c:strCache>
                <c:ptCount val="1"/>
                <c:pt idx="0">
                  <c:v>Sales</c:v>
                </c:pt>
              </c:strCache>
            </c:strRef>
          </c:tx>
          <c:dPt>
            <c:idx val="0"/>
            <c:bubble3D val="0"/>
            <c:spPr>
              <a:solidFill>
                <a:srgbClr val="637CEF"/>
              </a:solidFill>
              <a:ln w="19050">
                <a:solidFill>
                  <a:schemeClr val="lt1"/>
                </a:solidFill>
              </a:ln>
              <a:effectLst/>
            </c:spPr>
          </c:dPt>
          <c:dPt>
            <c:idx val="1"/>
            <c:bubble3D val="0"/>
            <c:spPr>
              <a:solidFill>
                <a:srgbClr val="E3008C"/>
              </a:solidFill>
              <a:ln w="19050">
                <a:solidFill>
                  <a:schemeClr val="lt1"/>
                </a:solidFill>
              </a:ln>
              <a:effectLst/>
            </c:spPr>
          </c:dPt>
          <c:dPt>
            <c:idx val="2"/>
            <c:bubble3D val="0"/>
            <c:spPr>
              <a:solidFill>
                <a:srgbClr val="2AA0A4"/>
              </a:solidFill>
              <a:ln w="19050">
                <a:solidFill>
                  <a:schemeClr val="lt1"/>
                </a:solidFill>
              </a:ln>
              <a:effectLst/>
            </c:spPr>
          </c:dPt>
          <c:cat>
            <c:strRef>
              <c:f>'Pivot '!$D$15:$D$18</c:f>
              <c:strCache>
                <c:ptCount val="3"/>
                <c:pt idx="0">
                  <c:v>Approved</c:v>
                </c:pt>
                <c:pt idx="1">
                  <c:v>Pending</c:v>
                </c:pt>
                <c:pt idx="2">
                  <c:v>Reimbursed</c:v>
                </c:pt>
              </c:strCache>
            </c:strRef>
          </c:cat>
          <c:val>
            <c:numRef>
              <c:f>'Pivot '!$I$15:$I$18</c:f>
              <c:numCache>
                <c:formatCode>General</c:formatCode>
                <c:ptCount val="3"/>
                <c:pt idx="0">
                  <c:v>54295.669999999991</c:v>
                </c:pt>
                <c:pt idx="1">
                  <c:v>38846.240000000005</c:v>
                </c:pt>
                <c:pt idx="2">
                  <c:v>32970.79</c:v>
                </c:pt>
              </c:numCache>
            </c:numRef>
          </c:val>
          <c:extLst>
            <c:ext xmlns:c16="http://schemas.microsoft.com/office/drawing/2014/chart" uri="{C3380CC4-5D6E-409C-BE32-E72D297353CC}">
              <c16:uniqueId val="{00000008-5A46-49C7-8BE5-334036760C67}"/>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hyperlink" Target="#'Department Summary'!A1"/><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hyperlink" Target="#'Monthly Summary'!A1"/><Relationship Id="rId4" Type="http://schemas.openxmlformats.org/officeDocument/2006/relationships/hyperlink" Target="#'Category Summary'!A1"/></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1</xdr:col>
      <xdr:colOff>85725</xdr:colOff>
      <xdr:row>1</xdr:row>
      <xdr:rowOff>114300</xdr:rowOff>
    </xdr:from>
    <xdr:to>
      <xdr:col>17</xdr:col>
      <xdr:colOff>9525</xdr:colOff>
      <xdr:row>30</xdr:row>
      <xdr:rowOff>66675</xdr:rowOff>
    </xdr:to>
    <xdr:sp macro="" textlink="">
      <xdr:nvSpPr>
        <xdr:cNvPr id="2" name="Rounded Rectangle 1">
          <a:extLst>
            <a:ext uri="{FF2B5EF4-FFF2-40B4-BE49-F238E27FC236}">
              <a16:creationId xmlns:a16="http://schemas.microsoft.com/office/drawing/2014/main" id="{00000000-0008-0000-0000-000002000000}"/>
            </a:ext>
          </a:extLst>
        </xdr:cNvPr>
        <xdr:cNvSpPr/>
      </xdr:nvSpPr>
      <xdr:spPr>
        <a:xfrm>
          <a:off x="1752600" y="304800"/>
          <a:ext cx="10401300" cy="5476875"/>
        </a:xfrm>
        <a:prstGeom prst="roundRect">
          <a:avLst/>
        </a:prstGeom>
        <a:solidFill>
          <a:schemeClr val="accent2">
            <a:lumMod val="50000"/>
          </a:schemeClr>
        </a:solidFill>
        <a:ln>
          <a:solidFill>
            <a:schemeClr val="tx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accent2">
                <a:lumMod val="60000"/>
                <a:lumOff val="40000"/>
              </a:schemeClr>
            </a:solidFill>
            <a:latin typeface="+mn-lt"/>
            <a:ea typeface="+mn-lt"/>
            <a:cs typeface="+mn-lt"/>
          </a:endParaRPr>
        </a:p>
      </xdr:txBody>
    </xdr:sp>
    <xdr:clientData/>
  </xdr:twoCellAnchor>
  <xdr:twoCellAnchor>
    <xdr:from>
      <xdr:col>6</xdr:col>
      <xdr:colOff>446105</xdr:colOff>
      <xdr:row>6</xdr:row>
      <xdr:rowOff>84399</xdr:rowOff>
    </xdr:from>
    <xdr:to>
      <xdr:col>16</xdr:col>
      <xdr:colOff>380320</xdr:colOff>
      <xdr:row>18</xdr:row>
      <xdr:rowOff>161079</xdr:rowOff>
    </xdr:to>
    <xdr:graphicFrame macro="">
      <xdr:nvGraphicFramePr>
        <xdr:cNvPr id="4" name="Chart 3">
          <a:extLst>
            <a:ext uri="{FF2B5EF4-FFF2-40B4-BE49-F238E27FC236}">
              <a16:creationId xmlns:a16="http://schemas.microsoft.com/office/drawing/2014/main" id="{00000000-0008-0000-00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446107</xdr:colOff>
      <xdr:row>6</xdr:row>
      <xdr:rowOff>72342</xdr:rowOff>
    </xdr:from>
    <xdr:to>
      <xdr:col>6</xdr:col>
      <xdr:colOff>272487</xdr:colOff>
      <xdr:row>16</xdr:row>
      <xdr:rowOff>105497</xdr:rowOff>
    </xdr:to>
    <xdr:graphicFrame macro="">
      <xdr:nvGraphicFramePr>
        <xdr:cNvPr id="5" name="Chart 4">
          <a:extLst>
            <a:ext uri="{FF2B5EF4-FFF2-40B4-BE49-F238E27FC236}">
              <a16:creationId xmlns:a16="http://schemas.microsoft.com/office/drawing/2014/main" id="{00000000-0008-0000-00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xdr:col>
      <xdr:colOff>470221</xdr:colOff>
      <xdr:row>17</xdr:row>
      <xdr:rowOff>72341</xdr:rowOff>
    </xdr:from>
    <xdr:to>
      <xdr:col>6</xdr:col>
      <xdr:colOff>285508</xdr:colOff>
      <xdr:row>29</xdr:row>
      <xdr:rowOff>12057</xdr:rowOff>
    </xdr:to>
    <mc:AlternateContent xmlns:mc="http://schemas.openxmlformats.org/markup-compatibility/2006" xmlns:a14="http://schemas.microsoft.com/office/drawing/2010/main">
      <mc:Choice Requires="a14">
        <xdr:graphicFrame macro="">
          <xdr:nvGraphicFramePr>
            <xdr:cNvPr id="7" name="Vendor">
              <a:extLst>
                <a:ext uri="{FF2B5EF4-FFF2-40B4-BE49-F238E27FC236}">
                  <a16:creationId xmlns:a16="http://schemas.microsoft.com/office/drawing/2014/main" id="{00000000-0008-0000-0000-000007000000}"/>
                </a:ext>
              </a:extLst>
            </xdr:cNvPr>
            <xdr:cNvGraphicFramePr/>
          </xdr:nvGraphicFramePr>
          <xdr:xfrm>
            <a:off x="0" y="0"/>
            <a:ext cx="0" cy="0"/>
          </xdr:xfrm>
          <a:graphic>
            <a:graphicData uri="http://schemas.microsoft.com/office/drawing/2010/slicer">
              <sle:slicer xmlns:sle="http://schemas.microsoft.com/office/drawing/2010/slicer" name="Vendor"/>
            </a:graphicData>
          </a:graphic>
        </xdr:graphicFrame>
      </mc:Choice>
      <mc:Fallback xmlns="">
        <xdr:sp macro="" textlink="">
          <xdr:nvSpPr>
            <xdr:cNvPr id="0" name=""/>
            <xdr:cNvSpPr>
              <a:spLocks noTextEdit="1"/>
            </xdr:cNvSpPr>
          </xdr:nvSpPr>
          <xdr:spPr>
            <a:xfrm>
              <a:off x="3465583" y="3268229"/>
              <a:ext cx="2271734" cy="21956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489995</xdr:colOff>
      <xdr:row>19</xdr:row>
      <xdr:rowOff>96457</xdr:rowOff>
    </xdr:from>
    <xdr:to>
      <xdr:col>9</xdr:col>
      <xdr:colOff>289367</xdr:colOff>
      <xdr:row>29</xdr:row>
      <xdr:rowOff>1</xdr:rowOff>
    </xdr:to>
    <mc:AlternateContent xmlns:mc="http://schemas.openxmlformats.org/markup-compatibility/2006" xmlns:a14="http://schemas.microsoft.com/office/drawing/2010/main">
      <mc:Choice Requires="a14">
        <xdr:graphicFrame macro="">
          <xdr:nvGraphicFramePr>
            <xdr:cNvPr id="8" name="Department">
              <a:extLst>
                <a:ext uri="{FF2B5EF4-FFF2-40B4-BE49-F238E27FC236}">
                  <a16:creationId xmlns:a16="http://schemas.microsoft.com/office/drawing/2014/main" id="{00000000-0008-0000-0000-000008000000}"/>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5941804" y="3668332"/>
              <a:ext cx="1641708" cy="178347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470222</xdr:colOff>
      <xdr:row>22</xdr:row>
      <xdr:rowOff>156740</xdr:rowOff>
    </xdr:from>
    <xdr:to>
      <xdr:col>12</xdr:col>
      <xdr:colOff>277311</xdr:colOff>
      <xdr:row>29</xdr:row>
      <xdr:rowOff>12057</xdr:rowOff>
    </xdr:to>
    <mc:AlternateContent xmlns:mc="http://schemas.openxmlformats.org/markup-compatibility/2006" xmlns:a14="http://schemas.microsoft.com/office/drawing/2010/main">
      <mc:Choice Requires="a14">
        <xdr:graphicFrame macro="">
          <xdr:nvGraphicFramePr>
            <xdr:cNvPr id="9" name="Status">
              <a:extLst>
                <a:ext uri="{FF2B5EF4-FFF2-40B4-BE49-F238E27FC236}">
                  <a16:creationId xmlns:a16="http://schemas.microsoft.com/office/drawing/2014/main" id="{00000000-0008-0000-0000-000009000000}"/>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7764367" y="4292595"/>
              <a:ext cx="1649424" cy="117127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759588</xdr:colOff>
      <xdr:row>2</xdr:row>
      <xdr:rowOff>48227</xdr:rowOff>
    </xdr:from>
    <xdr:to>
      <xdr:col>15</xdr:col>
      <xdr:colOff>554621</xdr:colOff>
      <xdr:row>5</xdr:row>
      <xdr:rowOff>132626</xdr:rowOff>
    </xdr:to>
    <xdr:sp macro="" textlink="">
      <xdr:nvSpPr>
        <xdr:cNvPr id="10" name="Rounded Rectangle 9">
          <a:extLst>
            <a:ext uri="{FF2B5EF4-FFF2-40B4-BE49-F238E27FC236}">
              <a16:creationId xmlns:a16="http://schemas.microsoft.com/office/drawing/2014/main" id="{00000000-0008-0000-0000-00000A000000}"/>
            </a:ext>
            <a:ext uri="{147F2762-F138-4A5C-976F-8EAC2B608ADB}">
              <a16:predDERef xmlns:a16="http://schemas.microsoft.com/office/drawing/2014/main" pred="{00000000-0008-0000-0000-000009000000}"/>
            </a:ext>
          </a:extLst>
        </xdr:cNvPr>
        <xdr:cNvSpPr/>
      </xdr:nvSpPr>
      <xdr:spPr>
        <a:xfrm>
          <a:off x="2423449" y="434050"/>
          <a:ext cx="9127121" cy="663133"/>
        </a:xfrm>
        <a:prstGeom prst="roundRect">
          <a:avLst/>
        </a:prstGeom>
        <a:solidFill>
          <a:schemeClr val="bg1">
            <a:lumMod val="6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3600">
            <a:solidFill>
              <a:schemeClr val="tx1"/>
            </a:solidFill>
          </a:endParaRPr>
        </a:p>
      </xdr:txBody>
    </xdr:sp>
    <xdr:clientData/>
  </xdr:twoCellAnchor>
  <xdr:twoCellAnchor>
    <xdr:from>
      <xdr:col>1</xdr:col>
      <xdr:colOff>241139</xdr:colOff>
      <xdr:row>6</xdr:row>
      <xdr:rowOff>108513</xdr:rowOff>
    </xdr:from>
    <xdr:to>
      <xdr:col>2</xdr:col>
      <xdr:colOff>325538</xdr:colOff>
      <xdr:row>12</xdr:row>
      <xdr:rowOff>36171</xdr:rowOff>
    </xdr:to>
    <xdr:sp macro="" textlink="">
      <xdr:nvSpPr>
        <xdr:cNvPr id="11" name="Rectangle 10">
          <a:extLst>
            <a:ext uri="{FF2B5EF4-FFF2-40B4-BE49-F238E27FC236}">
              <a16:creationId xmlns:a16="http://schemas.microsoft.com/office/drawing/2014/main" id="{00000000-0008-0000-0000-00000B000000}"/>
            </a:ext>
            <a:ext uri="{147F2762-F138-4A5C-976F-8EAC2B608ADB}">
              <a16:predDERef xmlns:a16="http://schemas.microsoft.com/office/drawing/2014/main" pred="{00000000-0008-0000-0000-00000A000000}"/>
            </a:ext>
          </a:extLst>
        </xdr:cNvPr>
        <xdr:cNvSpPr/>
      </xdr:nvSpPr>
      <xdr:spPr>
        <a:xfrm>
          <a:off x="1912192" y="1261539"/>
          <a:ext cx="1421241" cy="1080685"/>
        </a:xfrm>
        <a:prstGeom prst="rect">
          <a:avLst/>
        </a:prstGeom>
        <a:solidFill>
          <a:schemeClr val="accent3">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255849</xdr:colOff>
      <xdr:row>13</xdr:row>
      <xdr:rowOff>52086</xdr:rowOff>
    </xdr:from>
    <xdr:to>
      <xdr:col>2</xdr:col>
      <xdr:colOff>340248</xdr:colOff>
      <xdr:row>18</xdr:row>
      <xdr:rowOff>172656</xdr:rowOff>
    </xdr:to>
    <xdr:sp macro="" textlink="">
      <xdr:nvSpPr>
        <xdr:cNvPr id="12" name="Rectangle 11">
          <a:extLst>
            <a:ext uri="{FF2B5EF4-FFF2-40B4-BE49-F238E27FC236}">
              <a16:creationId xmlns:a16="http://schemas.microsoft.com/office/drawing/2014/main" id="{00000000-0008-0000-0000-00000C000000}"/>
            </a:ext>
            <a:ext uri="{147F2762-F138-4A5C-976F-8EAC2B608ADB}">
              <a16:predDERef xmlns:a16="http://schemas.microsoft.com/office/drawing/2014/main" pred="{00000000-0008-0000-0000-00000B000000}"/>
            </a:ext>
          </a:extLst>
        </xdr:cNvPr>
        <xdr:cNvSpPr/>
      </xdr:nvSpPr>
      <xdr:spPr>
        <a:xfrm>
          <a:off x="1922724" y="2528586"/>
          <a:ext cx="1417899" cy="1073070"/>
        </a:xfrm>
        <a:prstGeom prst="rect">
          <a:avLst/>
        </a:prstGeom>
        <a:solidFill>
          <a:schemeClr val="accent3">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251508</xdr:colOff>
      <xdr:row>19</xdr:row>
      <xdr:rowOff>156259</xdr:rowOff>
    </xdr:from>
    <xdr:to>
      <xdr:col>2</xdr:col>
      <xdr:colOff>384342</xdr:colOff>
      <xdr:row>25</xdr:row>
      <xdr:rowOff>83917</xdr:rowOff>
    </xdr:to>
    <xdr:sp macro="" textlink="">
      <xdr:nvSpPr>
        <xdr:cNvPr id="13" name="Rectangle 12">
          <a:extLst>
            <a:ext uri="{FF2B5EF4-FFF2-40B4-BE49-F238E27FC236}">
              <a16:creationId xmlns:a16="http://schemas.microsoft.com/office/drawing/2014/main" id="{00000000-0008-0000-0000-00000D000000}"/>
            </a:ext>
            <a:ext uri="{147F2762-F138-4A5C-976F-8EAC2B608ADB}">
              <a16:predDERef xmlns:a16="http://schemas.microsoft.com/office/drawing/2014/main" pred="{00000000-0008-0000-0000-00000C000000}"/>
            </a:ext>
          </a:extLst>
        </xdr:cNvPr>
        <xdr:cNvSpPr/>
      </xdr:nvSpPr>
      <xdr:spPr>
        <a:xfrm>
          <a:off x="1922561" y="3807509"/>
          <a:ext cx="1469676" cy="1080684"/>
        </a:xfrm>
        <a:prstGeom prst="rect">
          <a:avLst/>
        </a:prstGeom>
        <a:solidFill>
          <a:schemeClr val="accent3">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529867</xdr:colOff>
      <xdr:row>19</xdr:row>
      <xdr:rowOff>88413</xdr:rowOff>
    </xdr:from>
    <xdr:to>
      <xdr:col>16</xdr:col>
      <xdr:colOff>401581</xdr:colOff>
      <xdr:row>23</xdr:row>
      <xdr:rowOff>92754</xdr:rowOff>
    </xdr:to>
    <xdr:sp macro="" textlink="">
      <xdr:nvSpPr>
        <xdr:cNvPr id="14" name="Rectangle 13">
          <a:extLst>
            <a:ext uri="{FF2B5EF4-FFF2-40B4-BE49-F238E27FC236}">
              <a16:creationId xmlns:a16="http://schemas.microsoft.com/office/drawing/2014/main" id="{00000000-0008-0000-0000-00000E000000}"/>
            </a:ext>
            <a:ext uri="{147F2762-F138-4A5C-976F-8EAC2B608ADB}">
              <a16:predDERef xmlns:a16="http://schemas.microsoft.com/office/drawing/2014/main" pred="{00000000-0008-0000-0000-00000D000000}"/>
            </a:ext>
          </a:extLst>
        </xdr:cNvPr>
        <xdr:cNvSpPr/>
      </xdr:nvSpPr>
      <xdr:spPr>
        <a:xfrm>
          <a:off x="9637104" y="3739663"/>
          <a:ext cx="2311451" cy="773025"/>
        </a:xfrm>
        <a:prstGeom prst="rect">
          <a:avLst/>
        </a:prstGeom>
        <a:solidFill>
          <a:schemeClr val="accent3">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endParaRPr lang="en-US" sz="2000"/>
        </a:p>
      </xdr:txBody>
    </xdr:sp>
    <xdr:clientData/>
  </xdr:twoCellAnchor>
  <xdr:twoCellAnchor>
    <xdr:from>
      <xdr:col>12</xdr:col>
      <xdr:colOff>542563</xdr:colOff>
      <xdr:row>23</xdr:row>
      <xdr:rowOff>158308</xdr:rowOff>
    </xdr:from>
    <xdr:to>
      <xdr:col>16</xdr:col>
      <xdr:colOff>313482</xdr:colOff>
      <xdr:row>27</xdr:row>
      <xdr:rowOff>166989</xdr:rowOff>
    </xdr:to>
    <xdr:sp macro="" textlink="">
      <xdr:nvSpPr>
        <xdr:cNvPr id="15" name="Rectangle 14">
          <a:extLst>
            <a:ext uri="{FF2B5EF4-FFF2-40B4-BE49-F238E27FC236}">
              <a16:creationId xmlns:a16="http://schemas.microsoft.com/office/drawing/2014/main" id="{00000000-0008-0000-0000-00000F000000}"/>
            </a:ext>
            <a:ext uri="{147F2762-F138-4A5C-976F-8EAC2B608ADB}">
              <a16:predDERef xmlns:a16="http://schemas.microsoft.com/office/drawing/2014/main" pred="{00000000-0008-0000-0000-00000E000000}"/>
            </a:ext>
          </a:extLst>
        </xdr:cNvPr>
        <xdr:cNvSpPr/>
      </xdr:nvSpPr>
      <xdr:spPr>
        <a:xfrm>
          <a:off x="9638938" y="4539808"/>
          <a:ext cx="2209319" cy="770681"/>
        </a:xfrm>
        <a:prstGeom prst="rect">
          <a:avLst/>
        </a:prstGeom>
        <a:solidFill>
          <a:schemeClr val="accent3">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361709</xdr:colOff>
      <xdr:row>19</xdr:row>
      <xdr:rowOff>84399</xdr:rowOff>
    </xdr:from>
    <xdr:to>
      <xdr:col>12</xdr:col>
      <xdr:colOff>385823</xdr:colOff>
      <xdr:row>22</xdr:row>
      <xdr:rowOff>84400</xdr:rowOff>
    </xdr:to>
    <xdr:sp macro="" textlink="">
      <xdr:nvSpPr>
        <xdr:cNvPr id="16" name="Rectangle 15">
          <a:extLst>
            <a:ext uri="{FF2B5EF4-FFF2-40B4-BE49-F238E27FC236}">
              <a16:creationId xmlns:a16="http://schemas.microsoft.com/office/drawing/2014/main" id="{00000000-0008-0000-0000-000010000000}"/>
            </a:ext>
            <a:ext uri="{147F2762-F138-4A5C-976F-8EAC2B608ADB}">
              <a16:predDERef xmlns:a16="http://schemas.microsoft.com/office/drawing/2014/main" pred="{00000000-0008-0000-0000-00000F000000}"/>
            </a:ext>
          </a:extLst>
        </xdr:cNvPr>
        <xdr:cNvSpPr/>
      </xdr:nvSpPr>
      <xdr:spPr>
        <a:xfrm>
          <a:off x="7668228" y="3749715"/>
          <a:ext cx="1868829" cy="578736"/>
        </a:xfrm>
        <a:prstGeom prst="rect">
          <a:avLst/>
        </a:prstGeom>
        <a:solidFill>
          <a:schemeClr val="accent3">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oneCellAnchor>
    <xdr:from>
      <xdr:col>13</xdr:col>
      <xdr:colOff>91907</xdr:colOff>
      <xdr:row>19</xdr:row>
      <xdr:rowOff>34218</xdr:rowOff>
    </xdr:from>
    <xdr:ext cx="1896645" cy="831125"/>
    <xdr:sp macro="" textlink="">
      <xdr:nvSpPr>
        <xdr:cNvPr id="17" name="TextBox 16">
          <a:hlinkClick xmlns:r="http://schemas.openxmlformats.org/officeDocument/2006/relationships" r:id="rId3"/>
          <a:extLst>
            <a:ext uri="{FF2B5EF4-FFF2-40B4-BE49-F238E27FC236}">
              <a16:creationId xmlns:a16="http://schemas.microsoft.com/office/drawing/2014/main" id="{00000000-0008-0000-0000-000011000000}"/>
            </a:ext>
          </a:extLst>
        </xdr:cNvPr>
        <xdr:cNvSpPr txBox="1"/>
      </xdr:nvSpPr>
      <xdr:spPr>
        <a:xfrm>
          <a:off x="9809078" y="3685468"/>
          <a:ext cx="1896645" cy="8311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2400" u="sng">
              <a:latin typeface="Bahnschrift" panose="020B0502040204020203" pitchFamily="34" charset="0"/>
              <a:cs typeface="Arial" panose="020B0604020202020204" pitchFamily="34" charset="0"/>
            </a:rPr>
            <a:t>Department</a:t>
          </a:r>
        </a:p>
        <a:p>
          <a:pPr algn="ctr"/>
          <a:r>
            <a:rPr lang="en-US" sz="2400" u="sng" baseline="0">
              <a:latin typeface="Bahnschrift" panose="020B0502040204020203" pitchFamily="34" charset="0"/>
              <a:cs typeface="Arial" panose="020B0604020202020204" pitchFamily="34" charset="0"/>
            </a:rPr>
            <a:t>Summary</a:t>
          </a:r>
          <a:r>
            <a:rPr lang="en-US" sz="2000" u="sng" baseline="0">
              <a:latin typeface="Bahnschrift" panose="020B0502040204020203" pitchFamily="34" charset="0"/>
              <a:cs typeface="Arial" panose="020B0604020202020204" pitchFamily="34" charset="0"/>
            </a:rPr>
            <a:t> </a:t>
          </a:r>
          <a:endParaRPr lang="en-US" sz="2000" u="sng">
            <a:latin typeface="Bahnschrift" panose="020B0502040204020203" pitchFamily="34" charset="0"/>
            <a:cs typeface="Arial" panose="020B0604020202020204" pitchFamily="34" charset="0"/>
          </a:endParaRPr>
        </a:p>
      </xdr:txBody>
    </xdr:sp>
    <xdr:clientData/>
  </xdr:oneCellAnchor>
  <xdr:oneCellAnchor>
    <xdr:from>
      <xdr:col>13</xdr:col>
      <xdr:colOff>501315</xdr:colOff>
      <xdr:row>20</xdr:row>
      <xdr:rowOff>183815</xdr:rowOff>
    </xdr:from>
    <xdr:ext cx="1278356" cy="405432"/>
    <xdr:sp macro="" textlink="">
      <xdr:nvSpPr>
        <xdr:cNvPr id="18" name="TextBox 17">
          <a:extLst>
            <a:ext uri="{FF2B5EF4-FFF2-40B4-BE49-F238E27FC236}">
              <a16:creationId xmlns:a16="http://schemas.microsoft.com/office/drawing/2014/main" id="{00000000-0008-0000-0000-000012000000}"/>
            </a:ext>
          </a:extLst>
        </xdr:cNvPr>
        <xdr:cNvSpPr txBox="1"/>
      </xdr:nvSpPr>
      <xdr:spPr>
        <a:xfrm>
          <a:off x="10218486" y="4027236"/>
          <a:ext cx="1278356"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2000"/>
        </a:p>
      </xdr:txBody>
    </xdr:sp>
    <xdr:clientData/>
  </xdr:oneCellAnchor>
  <xdr:oneCellAnchor>
    <xdr:from>
      <xdr:col>13</xdr:col>
      <xdr:colOff>259012</xdr:colOff>
      <xdr:row>23</xdr:row>
      <xdr:rowOff>125329</xdr:rowOff>
    </xdr:from>
    <xdr:ext cx="1687763" cy="852236"/>
    <xdr:sp macro="" textlink="">
      <xdr:nvSpPr>
        <xdr:cNvPr id="20" name="TextBox 19">
          <a:hlinkClick xmlns:r="http://schemas.openxmlformats.org/officeDocument/2006/relationships" r:id="rId4"/>
          <a:extLst>
            <a:ext uri="{FF2B5EF4-FFF2-40B4-BE49-F238E27FC236}">
              <a16:creationId xmlns:a16="http://schemas.microsoft.com/office/drawing/2014/main" id="{00000000-0008-0000-0000-000014000000}"/>
            </a:ext>
          </a:extLst>
        </xdr:cNvPr>
        <xdr:cNvSpPr txBox="1"/>
      </xdr:nvSpPr>
      <xdr:spPr>
        <a:xfrm>
          <a:off x="9976183" y="4545263"/>
          <a:ext cx="1687763" cy="8522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b">
          <a:noAutofit/>
        </a:bodyPr>
        <a:lstStyle/>
        <a:p>
          <a:pPr algn="l"/>
          <a:r>
            <a:rPr lang="en-US" sz="2000" u="sng">
              <a:latin typeface="Bahnschrift" panose="020B0502040204020203" pitchFamily="34" charset="0"/>
            </a:rPr>
            <a:t>  </a:t>
          </a:r>
          <a:r>
            <a:rPr lang="en-US" sz="2300" u="sng">
              <a:latin typeface="Bahnschrift" panose="020B0502040204020203" pitchFamily="34" charset="0"/>
            </a:rPr>
            <a:t>Category </a:t>
          </a:r>
        </a:p>
        <a:p>
          <a:pPr algn="l"/>
          <a:r>
            <a:rPr lang="en-US" sz="2300" u="sng">
              <a:latin typeface="Bahnschrift" panose="020B0502040204020203" pitchFamily="34" charset="0"/>
            </a:rPr>
            <a:t> Summary</a:t>
          </a:r>
        </a:p>
      </xdr:txBody>
    </xdr:sp>
    <xdr:clientData/>
  </xdr:oneCellAnchor>
  <xdr:oneCellAnchor>
    <xdr:from>
      <xdr:col>9</xdr:col>
      <xdr:colOff>417763</xdr:colOff>
      <xdr:row>19</xdr:row>
      <xdr:rowOff>0</xdr:rowOff>
    </xdr:from>
    <xdr:ext cx="1721185" cy="885657"/>
    <xdr:sp macro="" textlink="">
      <xdr:nvSpPr>
        <xdr:cNvPr id="21" name="TextBox 20">
          <a:hlinkClick xmlns:r="http://schemas.openxmlformats.org/officeDocument/2006/relationships" r:id="rId5"/>
          <a:extLst>
            <a:ext uri="{FF2B5EF4-FFF2-40B4-BE49-F238E27FC236}">
              <a16:creationId xmlns:a16="http://schemas.microsoft.com/office/drawing/2014/main" id="{00000000-0008-0000-0000-000015000000}"/>
            </a:ext>
          </a:extLst>
        </xdr:cNvPr>
        <xdr:cNvSpPr txBox="1"/>
      </xdr:nvSpPr>
      <xdr:spPr>
        <a:xfrm>
          <a:off x="7695197" y="3651250"/>
          <a:ext cx="1721185" cy="8856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2000" u="sng">
              <a:latin typeface="Bahnschrift" panose="020B0502040204020203" pitchFamily="34" charset="0"/>
            </a:rPr>
            <a:t>Monthly </a:t>
          </a:r>
        </a:p>
        <a:p>
          <a:pPr algn="ctr"/>
          <a:r>
            <a:rPr lang="en-US" sz="2000" u="sng">
              <a:latin typeface="Bahnschrift" panose="020B0502040204020203" pitchFamily="34" charset="0"/>
            </a:rPr>
            <a:t>Summary</a:t>
          </a:r>
        </a:p>
      </xdr:txBody>
    </xdr:sp>
    <xdr:clientData/>
  </xdr:oneCellAnchor>
  <xdr:oneCellAnchor>
    <xdr:from>
      <xdr:col>1</xdr:col>
      <xdr:colOff>250657</xdr:colOff>
      <xdr:row>6</xdr:row>
      <xdr:rowOff>116974</xdr:rowOff>
    </xdr:from>
    <xdr:ext cx="1404552" cy="261610"/>
    <xdr:sp macro="" textlink="">
      <xdr:nvSpPr>
        <xdr:cNvPr id="22" name="TextBox 21">
          <a:extLst>
            <a:ext uri="{FF2B5EF4-FFF2-40B4-BE49-F238E27FC236}">
              <a16:creationId xmlns:a16="http://schemas.microsoft.com/office/drawing/2014/main" id="{00000000-0008-0000-0000-000016000000}"/>
            </a:ext>
          </a:extLst>
        </xdr:cNvPr>
        <xdr:cNvSpPr txBox="1"/>
      </xdr:nvSpPr>
      <xdr:spPr>
        <a:xfrm>
          <a:off x="1921710" y="1270000"/>
          <a:ext cx="1404552" cy="2616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u="sng">
              <a:latin typeface="Bahnschrift" panose="020B0502040204020203" pitchFamily="34" charset="0"/>
            </a:rPr>
            <a:t>Total</a:t>
          </a:r>
          <a:r>
            <a:rPr lang="en-US" sz="1100" u="sng" baseline="0">
              <a:latin typeface="Bahnschrift" panose="020B0502040204020203" pitchFamily="34" charset="0"/>
            </a:rPr>
            <a:t> of transaction</a:t>
          </a:r>
          <a:endParaRPr lang="en-US" sz="1100" u="sng">
            <a:latin typeface="Bahnschrift" panose="020B0502040204020203" pitchFamily="34" charset="0"/>
          </a:endParaRPr>
        </a:p>
      </xdr:txBody>
    </xdr:sp>
    <xdr:clientData/>
  </xdr:oneCellAnchor>
  <xdr:oneCellAnchor>
    <xdr:from>
      <xdr:col>1</xdr:col>
      <xdr:colOff>275724</xdr:colOff>
      <xdr:row>13</xdr:row>
      <xdr:rowOff>58487</xdr:rowOff>
    </xdr:from>
    <xdr:ext cx="1375633" cy="261610"/>
    <xdr:sp macro="" textlink="">
      <xdr:nvSpPr>
        <xdr:cNvPr id="23" name="TextBox 22">
          <a:extLst>
            <a:ext uri="{FF2B5EF4-FFF2-40B4-BE49-F238E27FC236}">
              <a16:creationId xmlns:a16="http://schemas.microsoft.com/office/drawing/2014/main" id="{00000000-0008-0000-0000-000017000000}"/>
            </a:ext>
          </a:extLst>
        </xdr:cNvPr>
        <xdr:cNvSpPr txBox="1"/>
      </xdr:nvSpPr>
      <xdr:spPr>
        <a:xfrm>
          <a:off x="1946777" y="2556711"/>
          <a:ext cx="1375633" cy="2616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u="sng">
              <a:latin typeface="Bahnschrift" panose="020B0502040204020203" pitchFamily="34" charset="0"/>
            </a:rPr>
            <a:t>No.</a:t>
          </a:r>
          <a:r>
            <a:rPr lang="en-US" sz="1100" u="sng" baseline="0">
              <a:latin typeface="Bahnschrift" panose="020B0502040204020203" pitchFamily="34" charset="0"/>
            </a:rPr>
            <a:t> of transcaction</a:t>
          </a:r>
          <a:endParaRPr lang="en-US" sz="1100" u="sng">
            <a:latin typeface="Bahnschrift" panose="020B0502040204020203" pitchFamily="34" charset="0"/>
          </a:endParaRPr>
        </a:p>
      </xdr:txBody>
    </xdr:sp>
    <xdr:clientData/>
  </xdr:oneCellAnchor>
  <xdr:oneCellAnchor>
    <xdr:from>
      <xdr:col>1</xdr:col>
      <xdr:colOff>183815</xdr:colOff>
      <xdr:row>19</xdr:row>
      <xdr:rowOff>142039</xdr:rowOff>
    </xdr:from>
    <xdr:ext cx="1622175" cy="261610"/>
    <xdr:sp macro="" textlink="">
      <xdr:nvSpPr>
        <xdr:cNvPr id="24" name="TextBox 23">
          <a:extLst>
            <a:ext uri="{FF2B5EF4-FFF2-40B4-BE49-F238E27FC236}">
              <a16:creationId xmlns:a16="http://schemas.microsoft.com/office/drawing/2014/main" id="{00000000-0008-0000-0000-000018000000}"/>
            </a:ext>
          </a:extLst>
        </xdr:cNvPr>
        <xdr:cNvSpPr txBox="1"/>
      </xdr:nvSpPr>
      <xdr:spPr>
        <a:xfrm>
          <a:off x="1854868" y="3793289"/>
          <a:ext cx="1622175" cy="2616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u="sng">
              <a:latin typeface="Bahnschrift" panose="020B0502040204020203" pitchFamily="34" charset="0"/>
            </a:rPr>
            <a:t>Average</a:t>
          </a:r>
          <a:r>
            <a:rPr lang="en-US" sz="1100" u="sng" baseline="0">
              <a:latin typeface="Bahnschrift" panose="020B0502040204020203" pitchFamily="34" charset="0"/>
            </a:rPr>
            <a:t> of transaction</a:t>
          </a:r>
          <a:endParaRPr lang="en-US" sz="1100" u="sng">
            <a:latin typeface="Bahnschrift" panose="020B0502040204020203" pitchFamily="34" charset="0"/>
          </a:endParaRPr>
        </a:p>
      </xdr:txBody>
    </xdr:sp>
    <xdr:clientData/>
  </xdr:oneCellAnchor>
  <xdr:oneCellAnchor>
    <xdr:from>
      <xdr:col>4</xdr:col>
      <xdr:colOff>554289</xdr:colOff>
      <xdr:row>2</xdr:row>
      <xdr:rowOff>83552</xdr:rowOff>
    </xdr:from>
    <xdr:ext cx="5288881" cy="584904"/>
    <xdr:sp macro="" textlink="">
      <xdr:nvSpPr>
        <xdr:cNvPr id="25" name="TextBox 24">
          <a:extLst>
            <a:ext uri="{FF2B5EF4-FFF2-40B4-BE49-F238E27FC236}">
              <a16:creationId xmlns:a16="http://schemas.microsoft.com/office/drawing/2014/main" id="{00000000-0008-0000-0000-000019000000}"/>
            </a:ext>
            <a:ext uri="{147F2762-F138-4A5C-976F-8EAC2B608ADB}">
              <a16:predDERef xmlns:a16="http://schemas.microsoft.com/office/drawing/2014/main" pred="{00000000-0008-0000-0000-000018000000}"/>
            </a:ext>
          </a:extLst>
        </xdr:cNvPr>
        <xdr:cNvSpPr txBox="1"/>
      </xdr:nvSpPr>
      <xdr:spPr>
        <a:xfrm>
          <a:off x="4773864" y="464552"/>
          <a:ext cx="5288881" cy="5849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3200">
              <a:latin typeface="Bahnschrift" panose="020B0502040204020203" pitchFamily="34" charset="0"/>
            </a:rPr>
            <a:t>Office Expences</a:t>
          </a:r>
          <a:r>
            <a:rPr lang="en-US" sz="3200" baseline="0">
              <a:latin typeface="Bahnschrift" panose="020B0502040204020203" pitchFamily="34" charset="0"/>
            </a:rPr>
            <a:t> Tracker</a:t>
          </a:r>
          <a:endParaRPr lang="en-US" sz="3200">
            <a:latin typeface="Bahnschrift" panose="020B0502040204020203" pitchFamily="34" charset="0"/>
          </a:endParaRPr>
        </a:p>
      </xdr:txBody>
    </xdr:sp>
    <xdr:clientData/>
  </xdr:oneCellAnchor>
  <xdr:oneCellAnchor>
    <xdr:from>
      <xdr:col>1</xdr:col>
      <xdr:colOff>408244</xdr:colOff>
      <xdr:row>8</xdr:row>
      <xdr:rowOff>100158</xdr:rowOff>
    </xdr:from>
    <xdr:ext cx="1219868" cy="369397"/>
    <xdr:sp macro="" textlink="'Pivot '!$J$22">
      <xdr:nvSpPr>
        <xdr:cNvPr id="28" name="TextBox 27">
          <a:extLst>
            <a:ext uri="{FF2B5EF4-FFF2-40B4-BE49-F238E27FC236}">
              <a16:creationId xmlns:a16="http://schemas.microsoft.com/office/drawing/2014/main" id="{00000000-0008-0000-0000-00001C000000}"/>
            </a:ext>
          </a:extLst>
        </xdr:cNvPr>
        <xdr:cNvSpPr txBox="1"/>
      </xdr:nvSpPr>
      <xdr:spPr>
        <a:xfrm>
          <a:off x="2079297" y="1637526"/>
          <a:ext cx="1219868" cy="36939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C58B5A06-6357-4E52-8CC7-846D26619E30}" type="TxLink">
            <a:rPr lang="en-US" sz="1800" b="0" i="0" u="none" strike="noStrike">
              <a:solidFill>
                <a:srgbClr val="000000"/>
              </a:solidFill>
              <a:latin typeface="Bahnschrift" panose="020B0502040204020203" pitchFamily="34" charset="0"/>
              <a:cs typeface="Calibri"/>
            </a:rPr>
            <a:pPr/>
            <a:t>549314.51</a:t>
          </a:fld>
          <a:endParaRPr lang="en-US" sz="1800">
            <a:latin typeface="Bahnschrift" panose="020B0502040204020203" pitchFamily="34" charset="0"/>
          </a:endParaRPr>
        </a:p>
      </xdr:txBody>
    </xdr:sp>
    <xdr:clientData/>
  </xdr:oneCellAnchor>
  <xdr:oneCellAnchor>
    <xdr:from>
      <xdr:col>1</xdr:col>
      <xdr:colOff>651709</xdr:colOff>
      <xdr:row>15</xdr:row>
      <xdr:rowOff>0</xdr:rowOff>
    </xdr:from>
    <xdr:ext cx="768683" cy="434473"/>
    <xdr:sp macro="" textlink="'Pivot '!$H$28">
      <xdr:nvSpPr>
        <xdr:cNvPr id="29" name="TextBox 28">
          <a:extLst>
            <a:ext uri="{FF2B5EF4-FFF2-40B4-BE49-F238E27FC236}">
              <a16:creationId xmlns:a16="http://schemas.microsoft.com/office/drawing/2014/main" id="{00000000-0008-0000-0000-00001D000000}"/>
            </a:ext>
          </a:extLst>
        </xdr:cNvPr>
        <xdr:cNvSpPr txBox="1"/>
      </xdr:nvSpPr>
      <xdr:spPr>
        <a:xfrm>
          <a:off x="2322762" y="2882566"/>
          <a:ext cx="768683" cy="43447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1DDA22C4-C2FF-47E2-9EAF-1E1EFF04E362}" type="TxLink">
            <a:rPr lang="en-US" sz="1800" b="0" i="0" u="none" strike="noStrike">
              <a:solidFill>
                <a:srgbClr val="000000"/>
              </a:solidFill>
              <a:latin typeface="Bahnschrift" panose="020B0502040204020203" pitchFamily="34" charset="0"/>
              <a:cs typeface="Calibri"/>
            </a:rPr>
            <a:pPr/>
            <a:t>200</a:t>
          </a:fld>
          <a:endParaRPr lang="en-US" sz="1800">
            <a:latin typeface="Bahnschrift" panose="020B0502040204020203" pitchFamily="34" charset="0"/>
          </a:endParaRPr>
        </a:p>
      </xdr:txBody>
    </xdr:sp>
    <xdr:clientData/>
  </xdr:oneCellAnchor>
  <xdr:oneCellAnchor>
    <xdr:from>
      <xdr:col>1</xdr:col>
      <xdr:colOff>325854</xdr:colOff>
      <xdr:row>21</xdr:row>
      <xdr:rowOff>133684</xdr:rowOff>
    </xdr:from>
    <xdr:ext cx="1334661" cy="369397"/>
    <xdr:sp macro="" textlink="'Pivot '!$A$30">
      <xdr:nvSpPr>
        <xdr:cNvPr id="30" name="TextBox 29">
          <a:extLst>
            <a:ext uri="{FF2B5EF4-FFF2-40B4-BE49-F238E27FC236}">
              <a16:creationId xmlns:a16="http://schemas.microsoft.com/office/drawing/2014/main" id="{00000000-0008-0000-0000-00001E000000}"/>
            </a:ext>
          </a:extLst>
        </xdr:cNvPr>
        <xdr:cNvSpPr txBox="1"/>
      </xdr:nvSpPr>
      <xdr:spPr>
        <a:xfrm>
          <a:off x="1996907" y="4169276"/>
          <a:ext cx="1334661" cy="36939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AC0E1D71-CD3A-4376-94E9-94CCCCE895DD}" type="TxLink">
            <a:rPr lang="en-US" sz="1800" b="0" i="0" u="none" strike="noStrike">
              <a:solidFill>
                <a:srgbClr val="000000"/>
              </a:solidFill>
              <a:latin typeface="Bahnschrift" panose="020B0502040204020203" pitchFamily="34" charset="0"/>
              <a:cs typeface="Calibri"/>
            </a:rPr>
            <a:pPr/>
            <a:t>2746.57255</a:t>
          </a:fld>
          <a:endParaRPr lang="en-US" sz="1800">
            <a:latin typeface="Bahnschrift" panose="020B0502040204020203" pitchFamily="34" charset="0"/>
          </a:endParaRP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6</xdr:col>
      <xdr:colOff>523875</xdr:colOff>
      <xdr:row>8</xdr:row>
      <xdr:rowOff>142875</xdr:rowOff>
    </xdr:from>
    <xdr:to>
      <xdr:col>10</xdr:col>
      <xdr:colOff>266700</xdr:colOff>
      <xdr:row>22</xdr:row>
      <xdr:rowOff>133350</xdr:rowOff>
    </xdr:to>
    <xdr:graphicFrame macro="">
      <xdr:nvGraphicFramePr>
        <xdr:cNvPr id="2" name="Chart 1">
          <a:extLst>
            <a:ext uri="{FF2B5EF4-FFF2-40B4-BE49-F238E27FC236}">
              <a16:creationId xmlns:a16="http://schemas.microsoft.com/office/drawing/2014/main" id="{F26D21D8-2516-52D1-E9D2-2128F68AAD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indows User" refreshedDate="45960.582770717592" createdVersion="5" refreshedVersion="5" minRefreshableVersion="3" recordCount="200" xr:uid="{00000000-000A-0000-FFFF-FFFF0E000000}">
  <cacheSource type="worksheet">
    <worksheetSource ref="A1:H201" sheet="Expense Details"/>
  </cacheSource>
  <cacheFields count="8">
    <cacheField name="Date" numFmtId="0">
      <sharedItems/>
    </cacheField>
    <cacheField name="Department" numFmtId="0">
      <sharedItems count="5">
        <s v="IT"/>
        <s v="HR"/>
        <s v="Marketing"/>
        <s v="Sales"/>
        <s v="Operations"/>
      </sharedItems>
    </cacheField>
    <cacheField name="Category" numFmtId="0">
      <sharedItems count="7">
        <s v="Training"/>
        <s v="Supplies"/>
        <s v="Travel"/>
        <s v="Maintenance"/>
        <s v="Equipment"/>
        <s v="Software"/>
        <s v="Utilities"/>
      </sharedItems>
    </cacheField>
    <cacheField name="Vendor" numFmtId="0">
      <sharedItems count="7">
        <s v="PowerGrid"/>
        <s v="SoftwareLabs"/>
        <s v="TrainHub"/>
        <s v="TechCorp"/>
        <s v="RepairPro"/>
        <s v="OfficeSupply Co"/>
        <s v="AirTravel Inc"/>
      </sharedItems>
    </cacheField>
    <cacheField name="Description" numFmtId="0">
      <sharedItems count="198">
        <s v="Expense 5548"/>
        <s v="Expense 9996"/>
        <s v="Expense 8577"/>
        <s v="Expense 3198"/>
        <s v="Expense 6954"/>
        <s v="Expense 3219"/>
        <s v="Expense 7028"/>
        <s v="Expense 9945"/>
        <s v="Expense 5090"/>
        <s v="Expense 2304"/>
        <s v="Expense 2069"/>
        <s v="Expense 7002"/>
        <s v="Expense 2682"/>
        <s v="Expense 9792"/>
        <s v="Expense 3896"/>
        <s v="Expense 4741"/>
        <s v="Expense 8651"/>
        <s v="Expense 6913"/>
        <s v="Expense 5835"/>
        <s v="Expense 5621"/>
        <s v="Expense 4356"/>
        <s v="Expense 3180"/>
        <s v="Expense 4943"/>
        <s v="Expense 9705"/>
        <s v="Expense 4157"/>
        <s v="Expense 1606"/>
        <s v="Expense 8027"/>
        <s v="Expense 6788"/>
        <s v="Expense 8184"/>
        <s v="Expense 4486"/>
        <s v="Expense 9154"/>
        <s v="Expense 1688"/>
        <s v="Expense 3482"/>
        <s v="Expense 4797"/>
        <s v="Expense 8574"/>
        <s v="Expense 7331"/>
        <s v="Expense 7722"/>
        <s v="Expense 7316"/>
        <s v="Expense 2248"/>
        <s v="Expense 1391"/>
        <s v="Expense 2640"/>
        <s v="Expense 2828"/>
        <s v="Expense 8164"/>
        <s v="Expense 7645"/>
        <s v="Expense 8240"/>
        <s v="Expense 3396"/>
        <s v="Expense 7600"/>
        <s v="Expense 3074"/>
        <s v="Expense 7943"/>
        <s v="Expense 5268"/>
        <s v="Expense 2704"/>
        <s v="Expense 1417"/>
        <s v="Expense 1235"/>
        <s v="Expense 9472"/>
        <s v="Expense 4343"/>
        <s v="Expense 8996"/>
        <s v="Expense 5282"/>
        <s v="Expense 9646"/>
        <s v="Expense 8657"/>
        <s v="Expense 5973"/>
        <s v="Expense 6536"/>
        <s v="Expense 6191"/>
        <s v="Expense 9389"/>
        <s v="Expense 7541"/>
        <s v="Expense 9172"/>
        <s v="Expense 1698"/>
        <s v="Expense 8009"/>
        <s v="Expense 1793"/>
        <s v="Expense 5199"/>
        <s v="Expense 5363"/>
        <s v="Expense 4596"/>
        <s v="Expense 2906"/>
        <s v="Expense 2664"/>
        <s v="Expense 1502"/>
        <s v="Expense 5555"/>
        <s v="Expense 3560"/>
        <s v="Expense 1954"/>
        <s v="Expense 8206"/>
        <s v="Expense 2353"/>
        <s v="Expense 6177"/>
        <s v="Expense 9393"/>
        <s v="Expense 7287"/>
        <s v="Expense 4766"/>
        <s v="Expense 7819"/>
        <s v="Expense 1950"/>
        <s v="Expense 9477"/>
        <s v="Expense 8980"/>
        <s v="Expense 8570"/>
        <s v="Expense 7833"/>
        <s v="Expense 6854"/>
        <s v="Expense 7944"/>
        <s v="Expense 8266"/>
        <s v="Expense 8400"/>
        <s v="Expense 5380"/>
        <s v="Expense 7640"/>
        <s v="Expense 3371"/>
        <s v="Expense 6188"/>
        <s v="Expense 4067"/>
        <s v="Expense 9073"/>
        <s v="Expense 9905"/>
        <s v="Expense 5079"/>
        <s v="Expense 2460"/>
        <s v="Expense 6387"/>
        <s v="Expense 1060"/>
        <s v="Expense 3779"/>
        <s v="Expense 5223"/>
        <s v="Expense 8421"/>
        <s v="Expense 6486"/>
        <s v="Expense 1294"/>
        <s v="Expense 2484"/>
        <s v="Expense 9502"/>
        <s v="Expense 9322"/>
        <s v="Expense 5876"/>
        <s v="Expense 1984"/>
        <s v="Expense 5846"/>
        <s v="Expense 8059"/>
        <s v="Expense 5719"/>
        <s v="Expense 9195"/>
        <s v="Expense 5497"/>
        <s v="Expense 6249"/>
        <s v="Expense 6619"/>
        <s v="Expense 2733"/>
        <s v="Expense 7278"/>
        <s v="Expense 2306"/>
        <s v="Expense 5150"/>
        <s v="Expense 5499"/>
        <s v="Expense 7371"/>
        <s v="Expense 5491"/>
        <s v="Expense 3739"/>
        <s v="Expense 6895"/>
        <s v="Expense 8449"/>
        <s v="Expense 5432"/>
        <s v="Expense 2796"/>
        <s v="Expense 2015"/>
        <s v="Expense 8390"/>
        <s v="Expense 5218"/>
        <s v="Expense 2986"/>
        <s v="Expense 7938"/>
        <s v="Expense 2838"/>
        <s v="Expense 7166"/>
        <s v="Expense 3839"/>
        <s v="Expense 4748"/>
        <s v="Expense 4419"/>
        <s v="Expense 7873"/>
        <s v="Expense 1004"/>
        <s v="Expense 7439"/>
        <s v="Expense 2267"/>
        <s v="Expense 8343"/>
        <s v="Expense 5208"/>
        <s v="Expense 4147"/>
        <s v="Expense 2686"/>
        <s v="Expense 6415"/>
        <s v="Expense 6450"/>
        <s v="Expense 9787"/>
        <s v="Expense 1574"/>
        <s v="Expense 5203"/>
        <s v="Expense 8973"/>
        <s v="Expense 9356"/>
        <s v="Expense 2184"/>
        <s v="Expense 8878"/>
        <s v="Expense 3568"/>
        <s v="Expense 4854"/>
        <s v="Expense 9954"/>
        <s v="Expense 3385"/>
        <s v="Expense 9942"/>
        <s v="Expense 1133"/>
        <s v="Expense 2853"/>
        <s v="Expense 6348"/>
        <s v="Expense 7530"/>
        <s v="Expense 7376"/>
        <s v="Expense 1271"/>
        <s v="Expense 9038"/>
        <s v="Expense 7988"/>
        <s v="Expense 3824"/>
        <s v="Expense 8832"/>
        <s v="Expense 6352"/>
        <s v="Expense 7413"/>
        <s v="Expense 9228"/>
        <s v="Expense 5164"/>
        <s v="Expense 9434"/>
        <s v="Expense 9007"/>
        <s v="Expense 2331"/>
        <s v="Expense 1481"/>
        <s v="Expense 9691"/>
        <s v="Expense 7881"/>
        <s v="Expense 3558"/>
        <s v="Expense 7235"/>
        <s v="Expense 3872"/>
        <s v="Expense 5971"/>
        <s v="Expense 2389"/>
        <s v="Expense 7799"/>
        <s v="Expense 2312"/>
        <s v="Expense 7971"/>
        <s v="Expense 1302"/>
        <s v="Expense 6959"/>
        <s v="Expense 7150"/>
        <s v="Expense 4760"/>
        <s v="Expense 1054"/>
      </sharedItems>
    </cacheField>
    <cacheField name="Amount" numFmtId="164">
      <sharedItems containsSemiMixedTypes="0" containsString="0" containsNumber="1" minValue="76.239999999999995" maxValue="4979.37"/>
    </cacheField>
    <cacheField name="Status" numFmtId="0">
      <sharedItems count="3">
        <s v="Pending"/>
        <s v="Reimbursed"/>
        <s v="Approved"/>
      </sharedItems>
    </cacheField>
    <cacheField name="Employee" numFmtId="0">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200">
  <r>
    <s v="2023-11-02"/>
    <x v="0"/>
    <x v="0"/>
    <x v="0"/>
    <x v="0"/>
    <n v="4507.07"/>
    <x v="0"/>
    <s v="Employee 9"/>
  </r>
  <r>
    <s v="2023-11-04"/>
    <x v="1"/>
    <x v="1"/>
    <x v="1"/>
    <x v="1"/>
    <n v="141.03"/>
    <x v="1"/>
    <s v="Employee 21"/>
  </r>
  <r>
    <s v="2023-11-05"/>
    <x v="2"/>
    <x v="2"/>
    <x v="2"/>
    <x v="2"/>
    <n v="4543.9399999999996"/>
    <x v="2"/>
    <s v="Employee 42"/>
  </r>
  <r>
    <s v="2023-11-07"/>
    <x v="1"/>
    <x v="3"/>
    <x v="3"/>
    <x v="3"/>
    <n v="4248.2299999999996"/>
    <x v="2"/>
    <s v="Employee 19"/>
  </r>
  <r>
    <s v="2023-11-08"/>
    <x v="0"/>
    <x v="4"/>
    <x v="4"/>
    <x v="4"/>
    <n v="1193.82"/>
    <x v="0"/>
    <s v="Employee 8"/>
  </r>
  <r>
    <s v="2023-11-10"/>
    <x v="3"/>
    <x v="3"/>
    <x v="5"/>
    <x v="5"/>
    <n v="1048.57"/>
    <x v="0"/>
    <s v="Employee 20"/>
  </r>
  <r>
    <s v="2023-11-10"/>
    <x v="3"/>
    <x v="2"/>
    <x v="5"/>
    <x v="6"/>
    <n v="597.63"/>
    <x v="1"/>
    <s v="Employee 24"/>
  </r>
  <r>
    <s v="2023-11-12"/>
    <x v="1"/>
    <x v="5"/>
    <x v="6"/>
    <x v="7"/>
    <n v="3430.88"/>
    <x v="2"/>
    <s v="Employee 8"/>
  </r>
  <r>
    <s v="2023-11-12"/>
    <x v="2"/>
    <x v="5"/>
    <x v="0"/>
    <x v="8"/>
    <n v="4812.3900000000003"/>
    <x v="0"/>
    <s v="Employee 49"/>
  </r>
  <r>
    <s v="2023-11-14"/>
    <x v="0"/>
    <x v="1"/>
    <x v="1"/>
    <x v="9"/>
    <n v="1326.54"/>
    <x v="2"/>
    <s v="Employee 43"/>
  </r>
  <r>
    <s v="2023-11-17"/>
    <x v="4"/>
    <x v="6"/>
    <x v="2"/>
    <x v="10"/>
    <n v="4578.58"/>
    <x v="2"/>
    <s v="Employee 41"/>
  </r>
  <r>
    <s v="2023-11-20"/>
    <x v="0"/>
    <x v="0"/>
    <x v="2"/>
    <x v="11"/>
    <n v="1723.08"/>
    <x v="2"/>
    <s v="Employee 2"/>
  </r>
  <r>
    <s v="2023-11-21"/>
    <x v="3"/>
    <x v="2"/>
    <x v="0"/>
    <x v="12"/>
    <n v="1407.37"/>
    <x v="1"/>
    <s v="Employee 1"/>
  </r>
  <r>
    <s v="2023-11-21"/>
    <x v="0"/>
    <x v="3"/>
    <x v="5"/>
    <x v="13"/>
    <n v="4829.88"/>
    <x v="1"/>
    <s v="Employee 9"/>
  </r>
  <r>
    <s v="2023-11-22"/>
    <x v="2"/>
    <x v="2"/>
    <x v="6"/>
    <x v="14"/>
    <n v="4818.0200000000004"/>
    <x v="2"/>
    <s v="Employee 29"/>
  </r>
  <r>
    <s v="2023-11-23"/>
    <x v="1"/>
    <x v="1"/>
    <x v="6"/>
    <x v="15"/>
    <n v="4548.07"/>
    <x v="2"/>
    <s v="Employee 2"/>
  </r>
  <r>
    <s v="2023-11-25"/>
    <x v="4"/>
    <x v="2"/>
    <x v="1"/>
    <x v="16"/>
    <n v="4733.66"/>
    <x v="0"/>
    <s v="Employee 39"/>
  </r>
  <r>
    <s v="2023-11-26"/>
    <x v="1"/>
    <x v="3"/>
    <x v="3"/>
    <x v="17"/>
    <n v="2861.33"/>
    <x v="1"/>
    <s v="Employee 14"/>
  </r>
  <r>
    <s v="2023-11-28"/>
    <x v="4"/>
    <x v="5"/>
    <x v="3"/>
    <x v="18"/>
    <n v="4931.74"/>
    <x v="0"/>
    <s v="Employee 17"/>
  </r>
  <r>
    <s v="2023-11-28"/>
    <x v="1"/>
    <x v="5"/>
    <x v="5"/>
    <x v="19"/>
    <n v="781.31"/>
    <x v="2"/>
    <s v="Employee 3"/>
  </r>
  <r>
    <s v="2023-11-29"/>
    <x v="2"/>
    <x v="4"/>
    <x v="2"/>
    <x v="20"/>
    <n v="4724.3"/>
    <x v="2"/>
    <s v="Employee 41"/>
  </r>
  <r>
    <s v="2023-11-30"/>
    <x v="1"/>
    <x v="2"/>
    <x v="3"/>
    <x v="21"/>
    <n v="3992.54"/>
    <x v="2"/>
    <s v="Employee 17"/>
  </r>
  <r>
    <s v="2023-12-05"/>
    <x v="0"/>
    <x v="6"/>
    <x v="5"/>
    <x v="22"/>
    <n v="3789.04"/>
    <x v="2"/>
    <s v="Employee 42"/>
  </r>
  <r>
    <s v="2023-12-06"/>
    <x v="3"/>
    <x v="6"/>
    <x v="5"/>
    <x v="23"/>
    <n v="4557.59"/>
    <x v="0"/>
    <s v="Employee 11"/>
  </r>
  <r>
    <s v="2023-12-06"/>
    <x v="3"/>
    <x v="3"/>
    <x v="6"/>
    <x v="24"/>
    <n v="4408.32"/>
    <x v="0"/>
    <s v="Employee 6"/>
  </r>
  <r>
    <s v="2023-12-07"/>
    <x v="3"/>
    <x v="4"/>
    <x v="2"/>
    <x v="25"/>
    <n v="4819.92"/>
    <x v="1"/>
    <s v="Employee 21"/>
  </r>
  <r>
    <s v="2023-12-09"/>
    <x v="3"/>
    <x v="5"/>
    <x v="6"/>
    <x v="26"/>
    <n v="4207.74"/>
    <x v="0"/>
    <s v="Employee 20"/>
  </r>
  <r>
    <s v="2023-12-12"/>
    <x v="4"/>
    <x v="3"/>
    <x v="4"/>
    <x v="27"/>
    <n v="2502.35"/>
    <x v="0"/>
    <s v="Employee 27"/>
  </r>
  <r>
    <s v="2023-12-12"/>
    <x v="4"/>
    <x v="4"/>
    <x v="2"/>
    <x v="28"/>
    <n v="2055.98"/>
    <x v="2"/>
    <s v="Employee 12"/>
  </r>
  <r>
    <s v="2023-12-17"/>
    <x v="0"/>
    <x v="4"/>
    <x v="2"/>
    <x v="29"/>
    <n v="4979.37"/>
    <x v="0"/>
    <s v="Employee 3"/>
  </r>
  <r>
    <s v="2023-12-18"/>
    <x v="3"/>
    <x v="2"/>
    <x v="0"/>
    <x v="30"/>
    <n v="2828.15"/>
    <x v="2"/>
    <s v="Employee 47"/>
  </r>
  <r>
    <s v="2023-12-19"/>
    <x v="0"/>
    <x v="6"/>
    <x v="3"/>
    <x v="31"/>
    <n v="2808.66"/>
    <x v="1"/>
    <s v="Employee 40"/>
  </r>
  <r>
    <s v="2023-12-19"/>
    <x v="0"/>
    <x v="5"/>
    <x v="2"/>
    <x v="32"/>
    <n v="1089.03"/>
    <x v="1"/>
    <s v="Employee 32"/>
  </r>
  <r>
    <s v="2023-12-21"/>
    <x v="3"/>
    <x v="0"/>
    <x v="3"/>
    <x v="33"/>
    <n v="4557.8999999999996"/>
    <x v="2"/>
    <s v="Employee 37"/>
  </r>
  <r>
    <s v="2023-12-22"/>
    <x v="3"/>
    <x v="6"/>
    <x v="2"/>
    <x v="34"/>
    <n v="3041.87"/>
    <x v="2"/>
    <s v="Employee 29"/>
  </r>
  <r>
    <s v="2023-12-23"/>
    <x v="1"/>
    <x v="4"/>
    <x v="0"/>
    <x v="35"/>
    <n v="2736.35"/>
    <x v="2"/>
    <s v="Employee 15"/>
  </r>
  <r>
    <s v="2023-12-24"/>
    <x v="0"/>
    <x v="3"/>
    <x v="1"/>
    <x v="36"/>
    <n v="4442.93"/>
    <x v="2"/>
    <s v="Employee 8"/>
  </r>
  <r>
    <s v="2024-01-01"/>
    <x v="0"/>
    <x v="1"/>
    <x v="4"/>
    <x v="37"/>
    <n v="3858.99"/>
    <x v="2"/>
    <s v="Employee 4"/>
  </r>
  <r>
    <s v="2024-01-02"/>
    <x v="0"/>
    <x v="4"/>
    <x v="3"/>
    <x v="38"/>
    <n v="1987.84"/>
    <x v="2"/>
    <s v="Employee 40"/>
  </r>
  <r>
    <s v="2024-01-02"/>
    <x v="2"/>
    <x v="2"/>
    <x v="3"/>
    <x v="39"/>
    <n v="3658.59"/>
    <x v="0"/>
    <s v="Employee 5"/>
  </r>
  <r>
    <s v="2024-01-07"/>
    <x v="3"/>
    <x v="1"/>
    <x v="6"/>
    <x v="40"/>
    <n v="1986.29"/>
    <x v="2"/>
    <s v="Employee 29"/>
  </r>
  <r>
    <s v="2024-01-12"/>
    <x v="0"/>
    <x v="4"/>
    <x v="0"/>
    <x v="41"/>
    <n v="3942.41"/>
    <x v="2"/>
    <s v="Employee 6"/>
  </r>
  <r>
    <s v="2024-01-14"/>
    <x v="3"/>
    <x v="6"/>
    <x v="3"/>
    <x v="42"/>
    <n v="1446.07"/>
    <x v="2"/>
    <s v="Employee 9"/>
  </r>
  <r>
    <s v="2024-01-17"/>
    <x v="2"/>
    <x v="3"/>
    <x v="5"/>
    <x v="43"/>
    <n v="2231.7800000000002"/>
    <x v="2"/>
    <s v="Employee 38"/>
  </r>
  <r>
    <s v="2024-01-17"/>
    <x v="1"/>
    <x v="5"/>
    <x v="6"/>
    <x v="44"/>
    <n v="506.84"/>
    <x v="2"/>
    <s v="Employee 22"/>
  </r>
  <r>
    <s v="2024-01-20"/>
    <x v="1"/>
    <x v="5"/>
    <x v="2"/>
    <x v="45"/>
    <n v="4537.24"/>
    <x v="2"/>
    <s v="Employee 40"/>
  </r>
  <r>
    <s v="2024-01-22"/>
    <x v="0"/>
    <x v="5"/>
    <x v="2"/>
    <x v="46"/>
    <n v="689.34"/>
    <x v="1"/>
    <s v="Employee 13"/>
  </r>
  <r>
    <s v="2024-01-26"/>
    <x v="3"/>
    <x v="1"/>
    <x v="2"/>
    <x v="47"/>
    <n v="4505.09"/>
    <x v="1"/>
    <s v="Employee 40"/>
  </r>
  <r>
    <s v="2024-01-28"/>
    <x v="1"/>
    <x v="3"/>
    <x v="2"/>
    <x v="48"/>
    <n v="2340.2600000000002"/>
    <x v="2"/>
    <s v="Employee 23"/>
  </r>
  <r>
    <s v="2024-01-30"/>
    <x v="1"/>
    <x v="1"/>
    <x v="6"/>
    <x v="49"/>
    <n v="106.2"/>
    <x v="2"/>
    <s v="Employee 20"/>
  </r>
  <r>
    <s v="2024-01-31"/>
    <x v="0"/>
    <x v="2"/>
    <x v="6"/>
    <x v="50"/>
    <n v="1703.34"/>
    <x v="2"/>
    <s v="Employee 42"/>
  </r>
  <r>
    <s v="2024-02-01"/>
    <x v="1"/>
    <x v="1"/>
    <x v="5"/>
    <x v="51"/>
    <n v="1340.44"/>
    <x v="2"/>
    <s v="Employee 50"/>
  </r>
  <r>
    <s v="2024-02-02"/>
    <x v="0"/>
    <x v="5"/>
    <x v="2"/>
    <x v="52"/>
    <n v="2072.17"/>
    <x v="1"/>
    <s v="Employee 11"/>
  </r>
  <r>
    <s v="2024-02-03"/>
    <x v="2"/>
    <x v="0"/>
    <x v="0"/>
    <x v="53"/>
    <n v="4489.1000000000004"/>
    <x v="2"/>
    <s v="Employee 29"/>
  </r>
  <r>
    <s v="2024-02-04"/>
    <x v="0"/>
    <x v="5"/>
    <x v="1"/>
    <x v="54"/>
    <n v="2607.65"/>
    <x v="0"/>
    <s v="Employee 5"/>
  </r>
  <r>
    <s v="2024-02-05"/>
    <x v="4"/>
    <x v="3"/>
    <x v="3"/>
    <x v="55"/>
    <n v="2521.0100000000002"/>
    <x v="2"/>
    <s v="Employee 49"/>
  </r>
  <r>
    <s v="2024-02-06"/>
    <x v="2"/>
    <x v="3"/>
    <x v="3"/>
    <x v="56"/>
    <n v="973.27"/>
    <x v="2"/>
    <s v="Employee 20"/>
  </r>
  <r>
    <s v="2024-02-06"/>
    <x v="4"/>
    <x v="5"/>
    <x v="3"/>
    <x v="57"/>
    <n v="2887.81"/>
    <x v="1"/>
    <s v="Employee 21"/>
  </r>
  <r>
    <s v="2024-02-07"/>
    <x v="4"/>
    <x v="1"/>
    <x v="3"/>
    <x v="58"/>
    <n v="2600.48"/>
    <x v="2"/>
    <s v="Employee 17"/>
  </r>
  <r>
    <s v="2024-02-07"/>
    <x v="0"/>
    <x v="5"/>
    <x v="5"/>
    <x v="59"/>
    <n v="2766.23"/>
    <x v="0"/>
    <s v="Employee 16"/>
  </r>
  <r>
    <s v="2024-02-09"/>
    <x v="4"/>
    <x v="2"/>
    <x v="3"/>
    <x v="60"/>
    <n v="3274.85"/>
    <x v="2"/>
    <s v="Employee 29"/>
  </r>
  <r>
    <s v="2024-02-11"/>
    <x v="4"/>
    <x v="5"/>
    <x v="4"/>
    <x v="61"/>
    <n v="3013.36"/>
    <x v="2"/>
    <s v="Employee 19"/>
  </r>
  <r>
    <s v="2024-02-12"/>
    <x v="2"/>
    <x v="3"/>
    <x v="6"/>
    <x v="62"/>
    <n v="4702.17"/>
    <x v="0"/>
    <s v="Employee 8"/>
  </r>
  <r>
    <s v="2024-02-17"/>
    <x v="3"/>
    <x v="1"/>
    <x v="5"/>
    <x v="63"/>
    <n v="2770.17"/>
    <x v="2"/>
    <s v="Employee 23"/>
  </r>
  <r>
    <s v="2024-02-19"/>
    <x v="2"/>
    <x v="3"/>
    <x v="0"/>
    <x v="64"/>
    <n v="4342.71"/>
    <x v="2"/>
    <s v="Employee 15"/>
  </r>
  <r>
    <s v="2024-02-21"/>
    <x v="3"/>
    <x v="4"/>
    <x v="3"/>
    <x v="65"/>
    <n v="3067.34"/>
    <x v="2"/>
    <s v="Employee 23"/>
  </r>
  <r>
    <s v="2024-02-21"/>
    <x v="0"/>
    <x v="4"/>
    <x v="4"/>
    <x v="66"/>
    <n v="3188.33"/>
    <x v="2"/>
    <s v="Employee 35"/>
  </r>
  <r>
    <s v="2024-02-23"/>
    <x v="2"/>
    <x v="6"/>
    <x v="0"/>
    <x v="67"/>
    <n v="1296.4100000000001"/>
    <x v="2"/>
    <s v="Employee 11"/>
  </r>
  <r>
    <s v="2024-02-24"/>
    <x v="2"/>
    <x v="4"/>
    <x v="0"/>
    <x v="68"/>
    <n v="3051.82"/>
    <x v="2"/>
    <s v="Employee 25"/>
  </r>
  <r>
    <s v="2024-02-26"/>
    <x v="2"/>
    <x v="2"/>
    <x v="5"/>
    <x v="69"/>
    <n v="4091.11"/>
    <x v="1"/>
    <s v="Employee 30"/>
  </r>
  <r>
    <s v="2024-03-05"/>
    <x v="4"/>
    <x v="4"/>
    <x v="3"/>
    <x v="70"/>
    <n v="2988.28"/>
    <x v="0"/>
    <s v="Employee 3"/>
  </r>
  <r>
    <s v="2024-03-05"/>
    <x v="2"/>
    <x v="2"/>
    <x v="6"/>
    <x v="71"/>
    <n v="2709.45"/>
    <x v="2"/>
    <s v="Employee 16"/>
  </r>
  <r>
    <s v="2024-03-06"/>
    <x v="0"/>
    <x v="6"/>
    <x v="1"/>
    <x v="72"/>
    <n v="907.81"/>
    <x v="2"/>
    <s v="Employee 34"/>
  </r>
  <r>
    <s v="2024-03-10"/>
    <x v="0"/>
    <x v="5"/>
    <x v="5"/>
    <x v="73"/>
    <n v="3866.29"/>
    <x v="2"/>
    <s v="Employee 9"/>
  </r>
  <r>
    <s v="2024-03-11"/>
    <x v="4"/>
    <x v="0"/>
    <x v="0"/>
    <x v="29"/>
    <n v="2434.25"/>
    <x v="2"/>
    <s v="Employee 39"/>
  </r>
  <r>
    <s v="2024-03-14"/>
    <x v="2"/>
    <x v="4"/>
    <x v="3"/>
    <x v="74"/>
    <n v="2568.63"/>
    <x v="0"/>
    <s v="Employee 22"/>
  </r>
  <r>
    <s v="2024-03-16"/>
    <x v="1"/>
    <x v="6"/>
    <x v="6"/>
    <x v="75"/>
    <n v="3718.55"/>
    <x v="2"/>
    <s v="Employee 29"/>
  </r>
  <r>
    <s v="2024-03-16"/>
    <x v="2"/>
    <x v="4"/>
    <x v="5"/>
    <x v="76"/>
    <n v="1442.89"/>
    <x v="2"/>
    <s v="Employee 38"/>
  </r>
  <r>
    <s v="2024-03-20"/>
    <x v="1"/>
    <x v="2"/>
    <x v="6"/>
    <x v="77"/>
    <n v="96.95"/>
    <x v="2"/>
    <s v="Employee 49"/>
  </r>
  <r>
    <s v="2024-03-23"/>
    <x v="0"/>
    <x v="2"/>
    <x v="0"/>
    <x v="78"/>
    <n v="4754.54"/>
    <x v="1"/>
    <s v="Employee 12"/>
  </r>
  <r>
    <s v="2024-03-26"/>
    <x v="0"/>
    <x v="3"/>
    <x v="6"/>
    <x v="79"/>
    <n v="438.36"/>
    <x v="2"/>
    <s v="Employee 23"/>
  </r>
  <r>
    <s v="2024-03-28"/>
    <x v="0"/>
    <x v="5"/>
    <x v="3"/>
    <x v="80"/>
    <n v="4024.12"/>
    <x v="2"/>
    <s v="Employee 41"/>
  </r>
  <r>
    <s v="2024-03-30"/>
    <x v="1"/>
    <x v="2"/>
    <x v="4"/>
    <x v="81"/>
    <n v="4095.25"/>
    <x v="2"/>
    <s v="Employee 49"/>
  </r>
  <r>
    <s v="2024-03-31"/>
    <x v="3"/>
    <x v="6"/>
    <x v="3"/>
    <x v="82"/>
    <n v="3766.81"/>
    <x v="0"/>
    <s v="Employee 41"/>
  </r>
  <r>
    <s v="2024-04-04"/>
    <x v="3"/>
    <x v="1"/>
    <x v="0"/>
    <x v="83"/>
    <n v="2345.31"/>
    <x v="2"/>
    <s v="Employee 50"/>
  </r>
  <r>
    <s v="2024-04-05"/>
    <x v="0"/>
    <x v="4"/>
    <x v="1"/>
    <x v="84"/>
    <n v="758.48"/>
    <x v="2"/>
    <s v="Employee 2"/>
  </r>
  <r>
    <s v="2024-04-06"/>
    <x v="3"/>
    <x v="4"/>
    <x v="1"/>
    <x v="85"/>
    <n v="4191"/>
    <x v="2"/>
    <s v="Employee 1"/>
  </r>
  <r>
    <s v="2024-04-07"/>
    <x v="2"/>
    <x v="6"/>
    <x v="0"/>
    <x v="86"/>
    <n v="430.92"/>
    <x v="0"/>
    <s v="Employee 40"/>
  </r>
  <r>
    <s v="2024-04-08"/>
    <x v="1"/>
    <x v="5"/>
    <x v="5"/>
    <x v="87"/>
    <n v="4117.8599999999997"/>
    <x v="2"/>
    <s v="Employee 42"/>
  </r>
  <r>
    <s v="2024-04-08"/>
    <x v="2"/>
    <x v="6"/>
    <x v="0"/>
    <x v="88"/>
    <n v="2888.17"/>
    <x v="2"/>
    <s v="Employee 43"/>
  </r>
  <r>
    <s v="2024-04-09"/>
    <x v="2"/>
    <x v="1"/>
    <x v="3"/>
    <x v="89"/>
    <n v="4228.8599999999997"/>
    <x v="1"/>
    <s v="Employee 46"/>
  </r>
  <r>
    <s v="2024-04-17"/>
    <x v="4"/>
    <x v="4"/>
    <x v="0"/>
    <x v="90"/>
    <n v="2494.77"/>
    <x v="2"/>
    <s v="Employee 8"/>
  </r>
  <r>
    <s v="2024-04-25"/>
    <x v="3"/>
    <x v="4"/>
    <x v="5"/>
    <x v="91"/>
    <n v="712.57"/>
    <x v="2"/>
    <s v="Employee 6"/>
  </r>
  <r>
    <s v="2024-04-25"/>
    <x v="4"/>
    <x v="6"/>
    <x v="1"/>
    <x v="92"/>
    <n v="4243.3599999999997"/>
    <x v="2"/>
    <s v="Employee 28"/>
  </r>
  <r>
    <s v="2024-04-28"/>
    <x v="3"/>
    <x v="4"/>
    <x v="3"/>
    <x v="93"/>
    <n v="2923.91"/>
    <x v="0"/>
    <s v="Employee 28"/>
  </r>
  <r>
    <s v="2024-05-01"/>
    <x v="4"/>
    <x v="3"/>
    <x v="4"/>
    <x v="94"/>
    <n v="2715.09"/>
    <x v="0"/>
    <s v="Employee 13"/>
  </r>
  <r>
    <s v="2024-05-02"/>
    <x v="3"/>
    <x v="5"/>
    <x v="1"/>
    <x v="95"/>
    <n v="3625.15"/>
    <x v="0"/>
    <s v="Employee 31"/>
  </r>
  <r>
    <s v="2024-05-03"/>
    <x v="3"/>
    <x v="0"/>
    <x v="0"/>
    <x v="96"/>
    <n v="516.08000000000004"/>
    <x v="2"/>
    <s v="Employee 5"/>
  </r>
  <r>
    <s v="2024-05-08"/>
    <x v="1"/>
    <x v="0"/>
    <x v="5"/>
    <x v="97"/>
    <n v="4795.2"/>
    <x v="2"/>
    <s v="Employee 36"/>
  </r>
  <r>
    <s v="2024-05-10"/>
    <x v="0"/>
    <x v="6"/>
    <x v="2"/>
    <x v="98"/>
    <n v="2394.19"/>
    <x v="2"/>
    <s v="Employee 18"/>
  </r>
  <r>
    <s v="2024-05-10"/>
    <x v="0"/>
    <x v="3"/>
    <x v="1"/>
    <x v="99"/>
    <n v="2841.63"/>
    <x v="1"/>
    <s v="Employee 22"/>
  </r>
  <r>
    <s v="2024-05-10"/>
    <x v="2"/>
    <x v="4"/>
    <x v="6"/>
    <x v="100"/>
    <n v="682.06"/>
    <x v="2"/>
    <s v="Employee 32"/>
  </r>
  <r>
    <s v="2024-05-15"/>
    <x v="3"/>
    <x v="0"/>
    <x v="6"/>
    <x v="101"/>
    <n v="2946.49"/>
    <x v="0"/>
    <s v="Employee 10"/>
  </r>
  <r>
    <s v="2024-05-16"/>
    <x v="0"/>
    <x v="1"/>
    <x v="3"/>
    <x v="102"/>
    <n v="1144.99"/>
    <x v="1"/>
    <s v="Employee 45"/>
  </r>
  <r>
    <s v="2024-05-19"/>
    <x v="0"/>
    <x v="4"/>
    <x v="3"/>
    <x v="103"/>
    <n v="3457.59"/>
    <x v="2"/>
    <s v="Employee 39"/>
  </r>
  <r>
    <s v="2024-05-19"/>
    <x v="0"/>
    <x v="5"/>
    <x v="0"/>
    <x v="104"/>
    <n v="1391.24"/>
    <x v="2"/>
    <s v="Employee 35"/>
  </r>
  <r>
    <s v="2024-05-20"/>
    <x v="2"/>
    <x v="0"/>
    <x v="4"/>
    <x v="105"/>
    <n v="951.43"/>
    <x v="2"/>
    <s v="Employee 17"/>
  </r>
  <r>
    <s v="2024-05-22"/>
    <x v="1"/>
    <x v="1"/>
    <x v="1"/>
    <x v="106"/>
    <n v="2197.5700000000002"/>
    <x v="2"/>
    <s v="Employee 10"/>
  </r>
  <r>
    <s v="2024-05-24"/>
    <x v="4"/>
    <x v="2"/>
    <x v="5"/>
    <x v="107"/>
    <n v="462.26"/>
    <x v="2"/>
    <s v="Employee 12"/>
  </r>
  <r>
    <s v="2024-05-24"/>
    <x v="3"/>
    <x v="5"/>
    <x v="0"/>
    <x v="108"/>
    <n v="1006.01"/>
    <x v="2"/>
    <s v="Employee 27"/>
  </r>
  <r>
    <s v="2024-05-25"/>
    <x v="1"/>
    <x v="1"/>
    <x v="0"/>
    <x v="109"/>
    <n v="1048.51"/>
    <x v="1"/>
    <s v="Employee 49"/>
  </r>
  <r>
    <s v="2024-05-28"/>
    <x v="0"/>
    <x v="5"/>
    <x v="5"/>
    <x v="110"/>
    <n v="2336.62"/>
    <x v="1"/>
    <s v="Employee 13"/>
  </r>
  <r>
    <s v="2024-06-02"/>
    <x v="2"/>
    <x v="2"/>
    <x v="1"/>
    <x v="111"/>
    <n v="151.88999999999999"/>
    <x v="1"/>
    <s v="Employee 44"/>
  </r>
  <r>
    <s v="2024-06-03"/>
    <x v="2"/>
    <x v="2"/>
    <x v="2"/>
    <x v="112"/>
    <n v="1157.9000000000001"/>
    <x v="2"/>
    <s v="Employee 9"/>
  </r>
  <r>
    <s v="2024-06-05"/>
    <x v="3"/>
    <x v="0"/>
    <x v="5"/>
    <x v="113"/>
    <n v="1317.28"/>
    <x v="0"/>
    <s v="Employee 43"/>
  </r>
  <r>
    <s v="2024-06-08"/>
    <x v="2"/>
    <x v="2"/>
    <x v="5"/>
    <x v="114"/>
    <n v="757.81"/>
    <x v="0"/>
    <s v="Employee 44"/>
  </r>
  <r>
    <s v="2024-06-09"/>
    <x v="3"/>
    <x v="5"/>
    <x v="2"/>
    <x v="115"/>
    <n v="3455.03"/>
    <x v="2"/>
    <s v="Employee 27"/>
  </r>
  <r>
    <s v="2024-06-09"/>
    <x v="2"/>
    <x v="4"/>
    <x v="3"/>
    <x v="116"/>
    <n v="2426.23"/>
    <x v="2"/>
    <s v="Employee 37"/>
  </r>
  <r>
    <s v="2024-06-10"/>
    <x v="1"/>
    <x v="6"/>
    <x v="0"/>
    <x v="117"/>
    <n v="76.239999999999995"/>
    <x v="1"/>
    <s v="Employee 30"/>
  </r>
  <r>
    <s v="2024-06-10"/>
    <x v="4"/>
    <x v="3"/>
    <x v="6"/>
    <x v="118"/>
    <n v="2636.05"/>
    <x v="0"/>
    <s v="Employee 14"/>
  </r>
  <r>
    <s v="2024-06-11"/>
    <x v="0"/>
    <x v="4"/>
    <x v="6"/>
    <x v="119"/>
    <n v="2678.13"/>
    <x v="2"/>
    <s v="Employee 6"/>
  </r>
  <r>
    <s v="2024-06-13"/>
    <x v="3"/>
    <x v="6"/>
    <x v="6"/>
    <x v="120"/>
    <n v="4874.01"/>
    <x v="0"/>
    <s v="Employee 17"/>
  </r>
  <r>
    <s v="2024-06-16"/>
    <x v="0"/>
    <x v="4"/>
    <x v="1"/>
    <x v="121"/>
    <n v="1858.52"/>
    <x v="2"/>
    <s v="Employee 30"/>
  </r>
  <r>
    <s v="2024-06-18"/>
    <x v="1"/>
    <x v="4"/>
    <x v="0"/>
    <x v="122"/>
    <n v="4257.6899999999996"/>
    <x v="2"/>
    <s v="Employee 33"/>
  </r>
  <r>
    <s v="2024-06-18"/>
    <x v="0"/>
    <x v="4"/>
    <x v="3"/>
    <x v="123"/>
    <n v="2164.1799999999998"/>
    <x v="1"/>
    <s v="Employee 41"/>
  </r>
  <r>
    <s v="2024-06-19"/>
    <x v="2"/>
    <x v="0"/>
    <x v="5"/>
    <x v="124"/>
    <n v="3335.17"/>
    <x v="1"/>
    <s v="Employee 5"/>
  </r>
  <r>
    <s v="2024-06-20"/>
    <x v="2"/>
    <x v="2"/>
    <x v="6"/>
    <x v="125"/>
    <n v="4441.08"/>
    <x v="0"/>
    <s v="Employee 24"/>
  </r>
  <r>
    <s v="2024-06-20"/>
    <x v="3"/>
    <x v="1"/>
    <x v="4"/>
    <x v="126"/>
    <n v="2708.68"/>
    <x v="2"/>
    <s v="Employee 8"/>
  </r>
  <r>
    <s v="2024-06-21"/>
    <x v="1"/>
    <x v="2"/>
    <x v="4"/>
    <x v="127"/>
    <n v="4161.74"/>
    <x v="2"/>
    <s v="Employee 30"/>
  </r>
  <r>
    <s v="2024-06-23"/>
    <x v="2"/>
    <x v="1"/>
    <x v="3"/>
    <x v="128"/>
    <n v="3247.29"/>
    <x v="2"/>
    <s v="Employee 45"/>
  </r>
  <r>
    <s v="2024-06-25"/>
    <x v="3"/>
    <x v="2"/>
    <x v="2"/>
    <x v="129"/>
    <n v="3174.14"/>
    <x v="0"/>
    <s v="Employee 30"/>
  </r>
  <r>
    <s v="2024-06-26"/>
    <x v="0"/>
    <x v="2"/>
    <x v="1"/>
    <x v="130"/>
    <n v="1935.41"/>
    <x v="1"/>
    <s v="Employee 27"/>
  </r>
  <r>
    <s v="2024-06-26"/>
    <x v="2"/>
    <x v="3"/>
    <x v="1"/>
    <x v="131"/>
    <n v="1420.54"/>
    <x v="1"/>
    <s v="Employee 49"/>
  </r>
  <r>
    <s v="2024-06-28"/>
    <x v="1"/>
    <x v="2"/>
    <x v="2"/>
    <x v="132"/>
    <n v="3167.4"/>
    <x v="2"/>
    <s v="Employee 9"/>
  </r>
  <r>
    <s v="2024-06-29"/>
    <x v="2"/>
    <x v="5"/>
    <x v="1"/>
    <x v="133"/>
    <n v="1913.49"/>
    <x v="1"/>
    <s v="Employee 32"/>
  </r>
  <r>
    <s v="2024-07-03"/>
    <x v="3"/>
    <x v="6"/>
    <x v="5"/>
    <x v="134"/>
    <n v="125.76"/>
    <x v="1"/>
    <s v="Employee 32"/>
  </r>
  <r>
    <s v="2024-07-04"/>
    <x v="4"/>
    <x v="3"/>
    <x v="6"/>
    <x v="135"/>
    <n v="1248.69"/>
    <x v="1"/>
    <s v="Employee 5"/>
  </r>
  <r>
    <s v="2024-07-09"/>
    <x v="2"/>
    <x v="6"/>
    <x v="6"/>
    <x v="136"/>
    <n v="4057.03"/>
    <x v="2"/>
    <s v="Employee 7"/>
  </r>
  <r>
    <s v="2024-07-10"/>
    <x v="3"/>
    <x v="1"/>
    <x v="3"/>
    <x v="137"/>
    <n v="3545.9"/>
    <x v="2"/>
    <s v="Employee 37"/>
  </r>
  <r>
    <s v="2024-07-10"/>
    <x v="1"/>
    <x v="2"/>
    <x v="1"/>
    <x v="138"/>
    <n v="4599.92"/>
    <x v="2"/>
    <s v="Employee 30"/>
  </r>
  <r>
    <s v="2024-07-11"/>
    <x v="1"/>
    <x v="0"/>
    <x v="2"/>
    <x v="139"/>
    <n v="2336.9299999999998"/>
    <x v="1"/>
    <s v="Employee 12"/>
  </r>
  <r>
    <s v="2024-07-14"/>
    <x v="3"/>
    <x v="5"/>
    <x v="0"/>
    <x v="140"/>
    <n v="4722.26"/>
    <x v="1"/>
    <s v="Employee 28"/>
  </r>
  <r>
    <s v="2024-07-16"/>
    <x v="2"/>
    <x v="4"/>
    <x v="2"/>
    <x v="141"/>
    <n v="3477.56"/>
    <x v="2"/>
    <s v="Employee 24"/>
  </r>
  <r>
    <s v="2024-07-17"/>
    <x v="0"/>
    <x v="4"/>
    <x v="5"/>
    <x v="142"/>
    <n v="1379.93"/>
    <x v="2"/>
    <s v="Employee 34"/>
  </r>
  <r>
    <s v="2024-07-17"/>
    <x v="3"/>
    <x v="3"/>
    <x v="5"/>
    <x v="143"/>
    <n v="2276.2800000000002"/>
    <x v="2"/>
    <s v="Employee 36"/>
  </r>
  <r>
    <s v="2024-07-21"/>
    <x v="3"/>
    <x v="6"/>
    <x v="0"/>
    <x v="144"/>
    <n v="2313.46"/>
    <x v="1"/>
    <s v="Employee 32"/>
  </r>
  <r>
    <s v="2024-07-27"/>
    <x v="4"/>
    <x v="4"/>
    <x v="2"/>
    <x v="145"/>
    <n v="4230.4399999999996"/>
    <x v="0"/>
    <s v="Employee 47"/>
  </r>
  <r>
    <s v="2024-07-28"/>
    <x v="2"/>
    <x v="6"/>
    <x v="4"/>
    <x v="146"/>
    <n v="2982.45"/>
    <x v="2"/>
    <s v="Employee 7"/>
  </r>
  <r>
    <s v="2024-07-30"/>
    <x v="0"/>
    <x v="4"/>
    <x v="6"/>
    <x v="147"/>
    <n v="2786.46"/>
    <x v="2"/>
    <s v="Employee 26"/>
  </r>
  <r>
    <s v="2024-08-01"/>
    <x v="4"/>
    <x v="4"/>
    <x v="0"/>
    <x v="148"/>
    <n v="2672.71"/>
    <x v="0"/>
    <s v="Employee 14"/>
  </r>
  <r>
    <s v="2024-08-04"/>
    <x v="3"/>
    <x v="3"/>
    <x v="6"/>
    <x v="149"/>
    <n v="2851.88"/>
    <x v="2"/>
    <s v="Employee 22"/>
  </r>
  <r>
    <s v="2024-08-06"/>
    <x v="1"/>
    <x v="3"/>
    <x v="2"/>
    <x v="150"/>
    <n v="743.42"/>
    <x v="2"/>
    <s v="Employee 2"/>
  </r>
  <r>
    <s v="2024-08-08"/>
    <x v="3"/>
    <x v="5"/>
    <x v="6"/>
    <x v="151"/>
    <n v="2214.11"/>
    <x v="1"/>
    <s v="Employee 39"/>
  </r>
  <r>
    <s v="2024-08-10"/>
    <x v="4"/>
    <x v="6"/>
    <x v="0"/>
    <x v="152"/>
    <n v="1655.51"/>
    <x v="2"/>
    <s v="Employee 25"/>
  </r>
  <r>
    <s v="2024-08-12"/>
    <x v="0"/>
    <x v="4"/>
    <x v="2"/>
    <x v="153"/>
    <n v="4140.96"/>
    <x v="2"/>
    <s v="Employee 19"/>
  </r>
  <r>
    <s v="2024-08-14"/>
    <x v="2"/>
    <x v="4"/>
    <x v="5"/>
    <x v="154"/>
    <n v="4910.1099999999997"/>
    <x v="1"/>
    <s v="Employee 22"/>
  </r>
  <r>
    <s v="2024-08-17"/>
    <x v="2"/>
    <x v="1"/>
    <x v="1"/>
    <x v="155"/>
    <n v="3488.75"/>
    <x v="2"/>
    <s v="Employee 34"/>
  </r>
  <r>
    <s v="2024-08-17"/>
    <x v="4"/>
    <x v="4"/>
    <x v="5"/>
    <x v="156"/>
    <n v="1764.41"/>
    <x v="2"/>
    <s v="Employee 34"/>
  </r>
  <r>
    <s v="2024-08-17"/>
    <x v="2"/>
    <x v="6"/>
    <x v="0"/>
    <x v="157"/>
    <n v="748.36"/>
    <x v="2"/>
    <s v="Employee 48"/>
  </r>
  <r>
    <s v="2024-08-20"/>
    <x v="1"/>
    <x v="6"/>
    <x v="1"/>
    <x v="158"/>
    <n v="1556"/>
    <x v="2"/>
    <s v="Employee 44"/>
  </r>
  <r>
    <s v="2024-08-21"/>
    <x v="2"/>
    <x v="0"/>
    <x v="1"/>
    <x v="159"/>
    <n v="4956.28"/>
    <x v="2"/>
    <s v="Employee 20"/>
  </r>
  <r>
    <s v="2024-08-27"/>
    <x v="0"/>
    <x v="4"/>
    <x v="4"/>
    <x v="160"/>
    <n v="3872.61"/>
    <x v="2"/>
    <s v="Employee 24"/>
  </r>
  <r>
    <s v="2024-08-29"/>
    <x v="4"/>
    <x v="0"/>
    <x v="6"/>
    <x v="129"/>
    <n v="3212.8"/>
    <x v="0"/>
    <s v="Employee 37"/>
  </r>
  <r>
    <s v="2024-08-31"/>
    <x v="4"/>
    <x v="1"/>
    <x v="2"/>
    <x v="161"/>
    <n v="1832.94"/>
    <x v="2"/>
    <s v="Employee 33"/>
  </r>
  <r>
    <s v="2024-09-01"/>
    <x v="3"/>
    <x v="6"/>
    <x v="0"/>
    <x v="162"/>
    <n v="693.93"/>
    <x v="0"/>
    <s v="Employee 7"/>
  </r>
  <r>
    <s v="2024-09-03"/>
    <x v="0"/>
    <x v="4"/>
    <x v="4"/>
    <x v="163"/>
    <n v="4196.67"/>
    <x v="0"/>
    <s v="Employee 25"/>
  </r>
  <r>
    <s v="2024-09-07"/>
    <x v="0"/>
    <x v="1"/>
    <x v="0"/>
    <x v="164"/>
    <n v="1348.21"/>
    <x v="2"/>
    <s v="Employee 43"/>
  </r>
  <r>
    <s v="2024-09-07"/>
    <x v="0"/>
    <x v="0"/>
    <x v="1"/>
    <x v="165"/>
    <n v="4020.44"/>
    <x v="1"/>
    <s v="Employee 45"/>
  </r>
  <r>
    <s v="2024-09-10"/>
    <x v="0"/>
    <x v="6"/>
    <x v="3"/>
    <x v="166"/>
    <n v="4860.32"/>
    <x v="1"/>
    <s v="Employee 39"/>
  </r>
  <r>
    <s v="2024-09-12"/>
    <x v="3"/>
    <x v="0"/>
    <x v="1"/>
    <x v="167"/>
    <n v="1302.3"/>
    <x v="0"/>
    <s v="Employee 18"/>
  </r>
  <r>
    <s v="2024-09-12"/>
    <x v="0"/>
    <x v="3"/>
    <x v="3"/>
    <x v="168"/>
    <n v="2937.68"/>
    <x v="1"/>
    <s v="Employee 49"/>
  </r>
  <r>
    <s v="2024-09-12"/>
    <x v="3"/>
    <x v="0"/>
    <x v="3"/>
    <x v="169"/>
    <n v="1812.16"/>
    <x v="1"/>
    <s v="Employee 49"/>
  </r>
  <r>
    <s v="2024-09-13"/>
    <x v="3"/>
    <x v="6"/>
    <x v="3"/>
    <x v="170"/>
    <n v="4374.7"/>
    <x v="1"/>
    <s v="Employee 10"/>
  </r>
  <r>
    <s v="2024-09-14"/>
    <x v="4"/>
    <x v="4"/>
    <x v="1"/>
    <x v="171"/>
    <n v="3778.57"/>
    <x v="2"/>
    <s v="Employee 19"/>
  </r>
  <r>
    <s v="2024-09-15"/>
    <x v="3"/>
    <x v="0"/>
    <x v="6"/>
    <x v="172"/>
    <n v="2686.32"/>
    <x v="2"/>
    <s v="Employee 50"/>
  </r>
  <r>
    <s v="2024-09-16"/>
    <x v="3"/>
    <x v="4"/>
    <x v="3"/>
    <x v="173"/>
    <n v="2998.41"/>
    <x v="2"/>
    <s v="Employee 35"/>
  </r>
  <r>
    <s v="2024-09-19"/>
    <x v="1"/>
    <x v="0"/>
    <x v="1"/>
    <x v="174"/>
    <n v="1422.46"/>
    <x v="1"/>
    <s v="Employee 15"/>
  </r>
  <r>
    <s v="2024-09-21"/>
    <x v="2"/>
    <x v="0"/>
    <x v="4"/>
    <x v="175"/>
    <n v="4816.8100000000004"/>
    <x v="2"/>
    <s v="Employee 15"/>
  </r>
  <r>
    <s v="2024-09-23"/>
    <x v="2"/>
    <x v="4"/>
    <x v="1"/>
    <x v="176"/>
    <n v="4007.71"/>
    <x v="1"/>
    <s v="Employee 37"/>
  </r>
  <r>
    <s v="2024-09-23"/>
    <x v="2"/>
    <x v="5"/>
    <x v="5"/>
    <x v="177"/>
    <n v="1139.9100000000001"/>
    <x v="0"/>
    <s v="Employee 5"/>
  </r>
  <r>
    <s v="2024-09-25"/>
    <x v="0"/>
    <x v="6"/>
    <x v="0"/>
    <x v="178"/>
    <n v="4901.16"/>
    <x v="2"/>
    <s v="Employee 13"/>
  </r>
  <r>
    <s v="2024-09-26"/>
    <x v="0"/>
    <x v="3"/>
    <x v="6"/>
    <x v="179"/>
    <n v="140.30000000000001"/>
    <x v="0"/>
    <s v="Employee 24"/>
  </r>
  <r>
    <s v="2024-09-30"/>
    <x v="3"/>
    <x v="3"/>
    <x v="3"/>
    <x v="180"/>
    <n v="4856.74"/>
    <x v="1"/>
    <s v="Employee 18"/>
  </r>
  <r>
    <s v="2024-09-30"/>
    <x v="2"/>
    <x v="2"/>
    <x v="4"/>
    <x v="181"/>
    <n v="2759.86"/>
    <x v="2"/>
    <s v="Employee 15"/>
  </r>
  <r>
    <s v="2024-10-02"/>
    <x v="2"/>
    <x v="5"/>
    <x v="6"/>
    <x v="182"/>
    <n v="3135.5"/>
    <x v="2"/>
    <s v="Employee 9"/>
  </r>
  <r>
    <s v="2024-10-04"/>
    <x v="3"/>
    <x v="4"/>
    <x v="2"/>
    <x v="183"/>
    <n v="1221.5899999999999"/>
    <x v="1"/>
    <s v="Employee 45"/>
  </r>
  <r>
    <s v="2024-10-06"/>
    <x v="1"/>
    <x v="2"/>
    <x v="6"/>
    <x v="184"/>
    <n v="1785.41"/>
    <x v="2"/>
    <s v="Employee 30"/>
  </r>
  <r>
    <s v="2024-10-10"/>
    <x v="0"/>
    <x v="2"/>
    <x v="6"/>
    <x v="185"/>
    <n v="740.49"/>
    <x v="2"/>
    <s v="Employee 16"/>
  </r>
  <r>
    <s v="2024-10-11"/>
    <x v="3"/>
    <x v="1"/>
    <x v="0"/>
    <x v="186"/>
    <n v="2228.75"/>
    <x v="2"/>
    <s v="Employee 8"/>
  </r>
  <r>
    <s v="2024-10-11"/>
    <x v="4"/>
    <x v="0"/>
    <x v="4"/>
    <x v="187"/>
    <n v="1694.12"/>
    <x v="2"/>
    <s v="Employee 40"/>
  </r>
  <r>
    <s v="2024-10-12"/>
    <x v="0"/>
    <x v="2"/>
    <x v="6"/>
    <x v="188"/>
    <n v="4568.1099999999997"/>
    <x v="2"/>
    <s v="Employee 25"/>
  </r>
  <r>
    <s v="2024-10-14"/>
    <x v="3"/>
    <x v="2"/>
    <x v="1"/>
    <x v="189"/>
    <n v="1191.82"/>
    <x v="2"/>
    <s v="Employee 26"/>
  </r>
  <r>
    <s v="2024-10-15"/>
    <x v="2"/>
    <x v="3"/>
    <x v="0"/>
    <x v="190"/>
    <n v="4880.47"/>
    <x v="2"/>
    <s v="Employee 30"/>
  </r>
  <r>
    <s v="2024-10-19"/>
    <x v="2"/>
    <x v="5"/>
    <x v="1"/>
    <x v="191"/>
    <n v="4399.22"/>
    <x v="0"/>
    <s v="Employee 40"/>
  </r>
  <r>
    <s v="2024-10-20"/>
    <x v="1"/>
    <x v="4"/>
    <x v="1"/>
    <x v="192"/>
    <n v="2581.14"/>
    <x v="2"/>
    <s v="Employee 45"/>
  </r>
  <r>
    <s v="2024-10-20"/>
    <x v="3"/>
    <x v="6"/>
    <x v="4"/>
    <x v="193"/>
    <n v="1883.84"/>
    <x v="2"/>
    <s v="Employee 26"/>
  </r>
  <r>
    <s v="2024-10-21"/>
    <x v="4"/>
    <x v="5"/>
    <x v="1"/>
    <x v="194"/>
    <n v="3274.27"/>
    <x v="0"/>
    <s v="Employee 31"/>
  </r>
  <r>
    <s v="2024-10-21"/>
    <x v="2"/>
    <x v="0"/>
    <x v="0"/>
    <x v="195"/>
    <n v="4414.1000000000004"/>
    <x v="1"/>
    <s v="Employee 31"/>
  </r>
  <r>
    <s v="2024-10-24"/>
    <x v="4"/>
    <x v="5"/>
    <x v="3"/>
    <x v="196"/>
    <n v="596.85"/>
    <x v="2"/>
    <s v="Employee 30"/>
  </r>
  <r>
    <s v="2024-10-31"/>
    <x v="1"/>
    <x v="6"/>
    <x v="3"/>
    <x v="197"/>
    <n v="822.96"/>
    <x v="0"/>
    <s v="Employee 2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5000000}" name="PivotTable9" cacheId="349"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H27:H28" firstHeaderRow="1" firstDataRow="1" firstDataCol="0"/>
  <pivotFields count="8">
    <pivotField showAll="0"/>
    <pivotField showAll="0"/>
    <pivotField showAll="0"/>
    <pivotField showAll="0"/>
    <pivotField showAll="0"/>
    <pivotField dataField="1" numFmtId="164" showAll="0"/>
    <pivotField showAll="0"/>
    <pivotField showAll="0"/>
  </pivotFields>
  <rowItems count="1">
    <i/>
  </rowItems>
  <colItems count="1">
    <i/>
  </colItems>
  <dataFields count="1">
    <dataField name="Count of Amount"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500-000004000000}" name="PivotTable8" cacheId="349"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E41:E42" firstHeaderRow="1" firstDataRow="1" firstDataCol="0"/>
  <pivotFields count="8">
    <pivotField showAll="0"/>
    <pivotField showAll="0"/>
    <pivotField showAll="0"/>
    <pivotField showAll="0"/>
    <pivotField showAll="0"/>
    <pivotField dataField="1" numFmtId="164" showAll="0"/>
    <pivotField showAll="0"/>
    <pivotField showAll="0"/>
  </pivotFields>
  <rowItems count="1">
    <i/>
  </rowItems>
  <colItems count="1">
    <i/>
  </colItems>
  <dataFields count="1">
    <dataField name="Count of Amount"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500-000003000000}" name="PivotTable5" cacheId="349"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29:A30" firstHeaderRow="1" firstDataRow="1" firstDataCol="0"/>
  <pivotFields count="8">
    <pivotField showAll="0"/>
    <pivotField showAll="0"/>
    <pivotField showAll="0"/>
    <pivotField showAll="0"/>
    <pivotField showAll="0"/>
    <pivotField dataField="1" numFmtId="164" showAll="0"/>
    <pivotField showAll="0"/>
    <pivotField showAll="0"/>
  </pivotFields>
  <rowItems count="1">
    <i/>
  </rowItems>
  <colItems count="1">
    <i/>
  </colItems>
  <dataFields count="1">
    <dataField name="Average of Amount" fld="5"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500-000002000000}" name="PivotTable4" cacheId="349"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7">
  <location ref="A2:I9" firstHeaderRow="1" firstDataRow="2" firstDataCol="1"/>
  <pivotFields count="8">
    <pivotField showAll="0"/>
    <pivotField axis="axisRow" showAll="0">
      <items count="6">
        <item x="1"/>
        <item x="0"/>
        <item x="2"/>
        <item x="4"/>
        <item x="3"/>
        <item t="default"/>
      </items>
    </pivotField>
    <pivotField axis="axisCol" showAll="0">
      <items count="8">
        <item x="4"/>
        <item x="3"/>
        <item x="5"/>
        <item x="1"/>
        <item x="0"/>
        <item x="2"/>
        <item x="6"/>
        <item t="default"/>
      </items>
    </pivotField>
    <pivotField showAll="0">
      <items count="8">
        <item x="6"/>
        <item x="5"/>
        <item x="0"/>
        <item x="4"/>
        <item x="1"/>
        <item x="3"/>
        <item x="2"/>
        <item t="default"/>
      </items>
    </pivotField>
    <pivotField showAll="0"/>
    <pivotField dataField="1" numFmtId="164" showAll="0"/>
    <pivotField showAll="0">
      <items count="4">
        <item x="2"/>
        <item x="0"/>
        <item x="1"/>
        <item t="default"/>
      </items>
    </pivotField>
    <pivotField showAll="0"/>
  </pivotFields>
  <rowFields count="1">
    <field x="1"/>
  </rowFields>
  <rowItems count="6">
    <i>
      <x/>
    </i>
    <i>
      <x v="1"/>
    </i>
    <i>
      <x v="2"/>
    </i>
    <i>
      <x v="3"/>
    </i>
    <i>
      <x v="4"/>
    </i>
    <i t="grand">
      <x/>
    </i>
  </rowItems>
  <colFields count="1">
    <field x="2"/>
  </colFields>
  <colItems count="8">
    <i>
      <x/>
    </i>
    <i>
      <x v="1"/>
    </i>
    <i>
      <x v="2"/>
    </i>
    <i>
      <x v="3"/>
    </i>
    <i>
      <x v="4"/>
    </i>
    <i>
      <x v="5"/>
    </i>
    <i>
      <x v="6"/>
    </i>
    <i t="grand">
      <x/>
    </i>
  </colItems>
  <dataFields count="1">
    <dataField name="Sum of Amount" fld="5" baseField="0" baseItem="0"/>
  </dataFields>
  <chartFormats count="8">
    <chartFormat chart="4" format="14" series="1">
      <pivotArea type="data" outline="0" fieldPosition="0">
        <references count="2">
          <reference field="4294967294" count="1" selected="0">
            <x v="0"/>
          </reference>
          <reference field="2" count="1" selected="0">
            <x v="0"/>
          </reference>
        </references>
      </pivotArea>
    </chartFormat>
    <chartFormat chart="4" format="15" series="1">
      <pivotArea type="data" outline="0" fieldPosition="0">
        <references count="2">
          <reference field="4294967294" count="1" selected="0">
            <x v="0"/>
          </reference>
          <reference field="2" count="1" selected="0">
            <x v="1"/>
          </reference>
        </references>
      </pivotArea>
    </chartFormat>
    <chartFormat chart="4" format="16" series="1">
      <pivotArea type="data" outline="0" fieldPosition="0">
        <references count="2">
          <reference field="4294967294" count="1" selected="0">
            <x v="0"/>
          </reference>
          <reference field="2" count="1" selected="0">
            <x v="2"/>
          </reference>
        </references>
      </pivotArea>
    </chartFormat>
    <chartFormat chart="4" format="17" series="1">
      <pivotArea type="data" outline="0" fieldPosition="0">
        <references count="2">
          <reference field="4294967294" count="1" selected="0">
            <x v="0"/>
          </reference>
          <reference field="2" count="1" selected="0">
            <x v="3"/>
          </reference>
        </references>
      </pivotArea>
    </chartFormat>
    <chartFormat chart="4" format="18" series="1">
      <pivotArea type="data" outline="0" fieldPosition="0">
        <references count="2">
          <reference field="4294967294" count="1" selected="0">
            <x v="0"/>
          </reference>
          <reference field="2" count="1" selected="0">
            <x v="4"/>
          </reference>
        </references>
      </pivotArea>
    </chartFormat>
    <chartFormat chart="4" format="19" series="1">
      <pivotArea type="data" outline="0" fieldPosition="0">
        <references count="2">
          <reference field="4294967294" count="1" selected="0">
            <x v="0"/>
          </reference>
          <reference field="2" count="1" selected="0">
            <x v="5"/>
          </reference>
        </references>
      </pivotArea>
    </chartFormat>
    <chartFormat chart="4" format="20" series="1">
      <pivotArea type="data" outline="0" fieldPosition="0">
        <references count="2">
          <reference field="4294967294" count="1" selected="0">
            <x v="0"/>
          </reference>
          <reference field="2" count="1" selected="0">
            <x v="6"/>
          </reference>
        </references>
      </pivotArea>
    </chartFormat>
    <chartFormat chart="4" format="2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500-000001000000}" name="PivotTable2" cacheId="349"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
  <location ref="J21:J22" firstHeaderRow="1" firstDataRow="1" firstDataCol="0"/>
  <pivotFields count="8">
    <pivotField showAll="0"/>
    <pivotField showAll="0">
      <items count="6">
        <item x="1"/>
        <item x="0"/>
        <item x="2"/>
        <item x="4"/>
        <item x="3"/>
        <item t="default"/>
      </items>
    </pivotField>
    <pivotField showAll="0"/>
    <pivotField showAll="0">
      <items count="8">
        <item x="6"/>
        <item x="5"/>
        <item x="0"/>
        <item x="4"/>
        <item x="1"/>
        <item x="3"/>
        <item x="2"/>
        <item t="default"/>
      </items>
    </pivotField>
    <pivotField showAll="0"/>
    <pivotField dataField="1" numFmtId="164" showAll="0"/>
    <pivotField showAll="0">
      <items count="4">
        <item x="2"/>
        <item x="0"/>
        <item x="1"/>
        <item t="default"/>
      </items>
    </pivotField>
    <pivotField showAll="0"/>
  </pivotFields>
  <rowItems count="1">
    <i/>
  </rowItems>
  <colItems count="1">
    <i/>
  </colItems>
  <dataFields count="1">
    <dataField name="Sum of Amount"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349"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9">
  <location ref="D13:J18" firstHeaderRow="1" firstDataRow="2" firstDataCol="1"/>
  <pivotFields count="8">
    <pivotField showAll="0"/>
    <pivotField axis="axisCol" showAll="0">
      <items count="6">
        <item x="1"/>
        <item x="0"/>
        <item x="2"/>
        <item x="4"/>
        <item x="3"/>
        <item t="default"/>
      </items>
    </pivotField>
    <pivotField showAll="0"/>
    <pivotField showAll="0">
      <items count="8">
        <item x="6"/>
        <item x="5"/>
        <item x="0"/>
        <item x="4"/>
        <item x="1"/>
        <item x="3"/>
        <item x="2"/>
        <item t="default"/>
      </items>
    </pivotField>
    <pivotField showAll="0">
      <items count="199">
        <item x="144"/>
        <item x="197"/>
        <item x="103"/>
        <item x="165"/>
        <item x="52"/>
        <item x="170"/>
        <item x="108"/>
        <item x="193"/>
        <item x="39"/>
        <item x="51"/>
        <item x="182"/>
        <item x="73"/>
        <item x="154"/>
        <item x="25"/>
        <item x="31"/>
        <item x="65"/>
        <item x="67"/>
        <item x="84"/>
        <item x="76"/>
        <item x="113"/>
        <item x="133"/>
        <item x="10"/>
        <item x="158"/>
        <item x="38"/>
        <item x="146"/>
        <item x="9"/>
        <item x="123"/>
        <item x="191"/>
        <item x="181"/>
        <item x="78"/>
        <item x="189"/>
        <item x="101"/>
        <item x="109"/>
        <item x="40"/>
        <item x="72"/>
        <item x="12"/>
        <item x="150"/>
        <item x="50"/>
        <item x="121"/>
        <item x="132"/>
        <item x="41"/>
        <item x="138"/>
        <item x="166"/>
        <item x="71"/>
        <item x="136"/>
        <item x="47"/>
        <item x="21"/>
        <item x="3"/>
        <item x="5"/>
        <item x="95"/>
        <item x="163"/>
        <item x="45"/>
        <item x="32"/>
        <item x="185"/>
        <item x="75"/>
        <item x="160"/>
        <item x="128"/>
        <item x="104"/>
        <item x="173"/>
        <item x="140"/>
        <item x="187"/>
        <item x="14"/>
        <item x="97"/>
        <item x="149"/>
        <item x="24"/>
        <item x="54"/>
        <item x="20"/>
        <item x="142"/>
        <item x="29"/>
        <item x="70"/>
        <item x="15"/>
        <item x="141"/>
        <item x="196"/>
        <item x="82"/>
        <item x="33"/>
        <item x="161"/>
        <item x="22"/>
        <item x="100"/>
        <item x="8"/>
        <item x="124"/>
        <item x="178"/>
        <item x="68"/>
        <item x="155"/>
        <item x="148"/>
        <item x="135"/>
        <item x="105"/>
        <item x="49"/>
        <item x="56"/>
        <item x="69"/>
        <item x="93"/>
        <item x="131"/>
        <item x="127"/>
        <item x="118"/>
        <item x="125"/>
        <item x="0"/>
        <item x="74"/>
        <item x="19"/>
        <item x="116"/>
        <item x="18"/>
        <item x="114"/>
        <item x="112"/>
        <item x="188"/>
        <item x="59"/>
        <item x="79"/>
        <item x="96"/>
        <item x="61"/>
        <item x="119"/>
        <item x="167"/>
        <item x="175"/>
        <item x="102"/>
        <item x="151"/>
        <item x="152"/>
        <item x="107"/>
        <item x="60"/>
        <item x="120"/>
        <item x="27"/>
        <item x="89"/>
        <item x="129"/>
        <item x="17"/>
        <item x="4"/>
        <item x="194"/>
        <item x="11"/>
        <item x="6"/>
        <item x="195"/>
        <item x="139"/>
        <item x="186"/>
        <item x="122"/>
        <item x="81"/>
        <item x="37"/>
        <item x="35"/>
        <item x="126"/>
        <item x="169"/>
        <item x="176"/>
        <item x="145"/>
        <item x="168"/>
        <item x="63"/>
        <item x="46"/>
        <item x="94"/>
        <item x="43"/>
        <item x="36"/>
        <item x="190"/>
        <item x="83"/>
        <item x="88"/>
        <item x="143"/>
        <item x="184"/>
        <item x="137"/>
        <item x="48"/>
        <item x="90"/>
        <item x="192"/>
        <item x="172"/>
        <item x="66"/>
        <item x="26"/>
        <item x="115"/>
        <item x="42"/>
        <item x="28"/>
        <item x="77"/>
        <item x="44"/>
        <item x="91"/>
        <item x="147"/>
        <item x="134"/>
        <item x="92"/>
        <item x="106"/>
        <item x="130"/>
        <item x="87"/>
        <item x="34"/>
        <item x="2"/>
        <item x="16"/>
        <item x="58"/>
        <item x="174"/>
        <item x="159"/>
        <item x="156"/>
        <item x="86"/>
        <item x="55"/>
        <item x="180"/>
        <item x="171"/>
        <item x="98"/>
        <item x="30"/>
        <item x="64"/>
        <item x="117"/>
        <item x="177"/>
        <item x="111"/>
        <item x="157"/>
        <item x="62"/>
        <item x="80"/>
        <item x="179"/>
        <item x="53"/>
        <item x="85"/>
        <item x="110"/>
        <item x="57"/>
        <item x="183"/>
        <item x="23"/>
        <item x="153"/>
        <item x="13"/>
        <item x="99"/>
        <item x="164"/>
        <item x="7"/>
        <item x="162"/>
        <item x="1"/>
        <item t="default"/>
      </items>
    </pivotField>
    <pivotField dataField="1" numFmtId="164" showAll="0"/>
    <pivotField axis="axisRow" showAll="0">
      <items count="4">
        <item x="2"/>
        <item x="0"/>
        <item x="1"/>
        <item t="default"/>
      </items>
    </pivotField>
    <pivotField showAll="0"/>
  </pivotFields>
  <rowFields count="1">
    <field x="6"/>
  </rowFields>
  <rowItems count="4">
    <i>
      <x/>
    </i>
    <i>
      <x v="1"/>
    </i>
    <i>
      <x v="2"/>
    </i>
    <i t="grand">
      <x/>
    </i>
  </rowItems>
  <colFields count="1">
    <field x="1"/>
  </colFields>
  <colItems count="6">
    <i>
      <x/>
    </i>
    <i>
      <x v="1"/>
    </i>
    <i>
      <x v="2"/>
    </i>
    <i>
      <x v="3"/>
    </i>
    <i>
      <x v="4"/>
    </i>
    <i t="grand">
      <x/>
    </i>
  </colItems>
  <dataFields count="1">
    <dataField name="Sum of Amount" fld="5" baseField="0" baseItem="0"/>
  </dataFields>
  <chartFormats count="26">
    <chartFormat chart="4" format="25" series="1">
      <pivotArea type="data" outline="0" fieldPosition="0">
        <references count="2">
          <reference field="4294967294" count="1" selected="0">
            <x v="0"/>
          </reference>
          <reference field="1" count="1" selected="0">
            <x v="0"/>
          </reference>
        </references>
      </pivotArea>
    </chartFormat>
    <chartFormat chart="4" format="26">
      <pivotArea type="data" outline="0" fieldPosition="0">
        <references count="3">
          <reference field="4294967294" count="1" selected="0">
            <x v="0"/>
          </reference>
          <reference field="1" count="1" selected="0">
            <x v="0"/>
          </reference>
          <reference field="6" count="1" selected="0">
            <x v="0"/>
          </reference>
        </references>
      </pivotArea>
    </chartFormat>
    <chartFormat chart="4" format="27">
      <pivotArea type="data" outline="0" fieldPosition="0">
        <references count="3">
          <reference field="4294967294" count="1" selected="0">
            <x v="0"/>
          </reference>
          <reference field="1" count="1" selected="0">
            <x v="0"/>
          </reference>
          <reference field="6" count="1" selected="0">
            <x v="1"/>
          </reference>
        </references>
      </pivotArea>
    </chartFormat>
    <chartFormat chart="4" format="28">
      <pivotArea type="data" outline="0" fieldPosition="0">
        <references count="3">
          <reference field="4294967294" count="1" selected="0">
            <x v="0"/>
          </reference>
          <reference field="1" count="1" selected="0">
            <x v="0"/>
          </reference>
          <reference field="6" count="1" selected="0">
            <x v="2"/>
          </reference>
        </references>
      </pivotArea>
    </chartFormat>
    <chartFormat chart="4" format="29" series="1">
      <pivotArea type="data" outline="0" fieldPosition="0">
        <references count="2">
          <reference field="4294967294" count="1" selected="0">
            <x v="0"/>
          </reference>
          <reference field="1" count="1" selected="0">
            <x v="1"/>
          </reference>
        </references>
      </pivotArea>
    </chartFormat>
    <chartFormat chart="4" format="30">
      <pivotArea type="data" outline="0" fieldPosition="0">
        <references count="3">
          <reference field="4294967294" count="1" selected="0">
            <x v="0"/>
          </reference>
          <reference field="1" count="1" selected="0">
            <x v="1"/>
          </reference>
          <reference field="6" count="1" selected="0">
            <x v="0"/>
          </reference>
        </references>
      </pivotArea>
    </chartFormat>
    <chartFormat chart="4" format="31">
      <pivotArea type="data" outline="0" fieldPosition="0">
        <references count="3">
          <reference field="4294967294" count="1" selected="0">
            <x v="0"/>
          </reference>
          <reference field="1" count="1" selected="0">
            <x v="1"/>
          </reference>
          <reference field="6" count="1" selected="0">
            <x v="1"/>
          </reference>
        </references>
      </pivotArea>
    </chartFormat>
    <chartFormat chart="4" format="32">
      <pivotArea type="data" outline="0" fieldPosition="0">
        <references count="3">
          <reference field="4294967294" count="1" selected="0">
            <x v="0"/>
          </reference>
          <reference field="1" count="1" selected="0">
            <x v="1"/>
          </reference>
          <reference field="6" count="1" selected="0">
            <x v="2"/>
          </reference>
        </references>
      </pivotArea>
    </chartFormat>
    <chartFormat chart="4" format="33" series="1">
      <pivotArea type="data" outline="0" fieldPosition="0">
        <references count="2">
          <reference field="4294967294" count="1" selected="0">
            <x v="0"/>
          </reference>
          <reference field="1" count="1" selected="0">
            <x v="2"/>
          </reference>
        </references>
      </pivotArea>
    </chartFormat>
    <chartFormat chart="4" format="34">
      <pivotArea type="data" outline="0" fieldPosition="0">
        <references count="3">
          <reference field="4294967294" count="1" selected="0">
            <x v="0"/>
          </reference>
          <reference field="1" count="1" selected="0">
            <x v="2"/>
          </reference>
          <reference field="6" count="1" selected="0">
            <x v="0"/>
          </reference>
        </references>
      </pivotArea>
    </chartFormat>
    <chartFormat chart="4" format="35">
      <pivotArea type="data" outline="0" fieldPosition="0">
        <references count="3">
          <reference field="4294967294" count="1" selected="0">
            <x v="0"/>
          </reference>
          <reference field="1" count="1" selected="0">
            <x v="2"/>
          </reference>
          <reference field="6" count="1" selected="0">
            <x v="1"/>
          </reference>
        </references>
      </pivotArea>
    </chartFormat>
    <chartFormat chart="4" format="36">
      <pivotArea type="data" outline="0" fieldPosition="0">
        <references count="3">
          <reference field="4294967294" count="1" selected="0">
            <x v="0"/>
          </reference>
          <reference field="1" count="1" selected="0">
            <x v="2"/>
          </reference>
          <reference field="6" count="1" selected="0">
            <x v="2"/>
          </reference>
        </references>
      </pivotArea>
    </chartFormat>
    <chartFormat chart="4" format="37" series="1">
      <pivotArea type="data" outline="0" fieldPosition="0">
        <references count="2">
          <reference field="4294967294" count="1" selected="0">
            <x v="0"/>
          </reference>
          <reference field="1" count="1" selected="0">
            <x v="3"/>
          </reference>
        </references>
      </pivotArea>
    </chartFormat>
    <chartFormat chart="4" format="38">
      <pivotArea type="data" outline="0" fieldPosition="0">
        <references count="3">
          <reference field="4294967294" count="1" selected="0">
            <x v="0"/>
          </reference>
          <reference field="1" count="1" selected="0">
            <x v="3"/>
          </reference>
          <reference field="6" count="1" selected="0">
            <x v="0"/>
          </reference>
        </references>
      </pivotArea>
    </chartFormat>
    <chartFormat chart="4" format="39">
      <pivotArea type="data" outline="0" fieldPosition="0">
        <references count="3">
          <reference field="4294967294" count="1" selected="0">
            <x v="0"/>
          </reference>
          <reference field="1" count="1" selected="0">
            <x v="3"/>
          </reference>
          <reference field="6" count="1" selected="0">
            <x v="1"/>
          </reference>
        </references>
      </pivotArea>
    </chartFormat>
    <chartFormat chart="4" format="40">
      <pivotArea type="data" outline="0" fieldPosition="0">
        <references count="3">
          <reference field="4294967294" count="1" selected="0">
            <x v="0"/>
          </reference>
          <reference field="1" count="1" selected="0">
            <x v="3"/>
          </reference>
          <reference field="6" count="1" selected="0">
            <x v="2"/>
          </reference>
        </references>
      </pivotArea>
    </chartFormat>
    <chartFormat chart="4" format="41" series="1">
      <pivotArea type="data" outline="0" fieldPosition="0">
        <references count="2">
          <reference field="4294967294" count="1" selected="0">
            <x v="0"/>
          </reference>
          <reference field="1" count="1" selected="0">
            <x v="4"/>
          </reference>
        </references>
      </pivotArea>
    </chartFormat>
    <chartFormat chart="4" format="42">
      <pivotArea type="data" outline="0" fieldPosition="0">
        <references count="3">
          <reference field="4294967294" count="1" selected="0">
            <x v="0"/>
          </reference>
          <reference field="1" count="1" selected="0">
            <x v="4"/>
          </reference>
          <reference field="6" count="1" selected="0">
            <x v="0"/>
          </reference>
        </references>
      </pivotArea>
    </chartFormat>
    <chartFormat chart="4" format="43">
      <pivotArea type="data" outline="0" fieldPosition="0">
        <references count="3">
          <reference field="4294967294" count="1" selected="0">
            <x v="0"/>
          </reference>
          <reference field="1" count="1" selected="0">
            <x v="4"/>
          </reference>
          <reference field="6" count="1" selected="0">
            <x v="1"/>
          </reference>
        </references>
      </pivotArea>
    </chartFormat>
    <chartFormat chart="4" format="44">
      <pivotArea type="data" outline="0" fieldPosition="0">
        <references count="3">
          <reference field="4294967294" count="1" selected="0">
            <x v="0"/>
          </reference>
          <reference field="1" count="1" selected="0">
            <x v="4"/>
          </reference>
          <reference field="6" count="1" selected="0">
            <x v="2"/>
          </reference>
        </references>
      </pivotArea>
    </chartFormat>
    <chartFormat chart="4" format="45" series="1">
      <pivotArea type="data" outline="0" fieldPosition="0">
        <references count="1">
          <reference field="4294967294" count="1" selected="0">
            <x v="0"/>
          </reference>
        </references>
      </pivotArea>
    </chartFormat>
    <chartFormat chart="8" format="0" series="1">
      <pivotArea type="data" outline="0" fieldPosition="0">
        <references count="2">
          <reference field="4294967294" count="1" selected="0">
            <x v="0"/>
          </reference>
          <reference field="1" count="1" selected="0">
            <x v="0"/>
          </reference>
        </references>
      </pivotArea>
    </chartFormat>
    <chartFormat chart="8" format="1" series="1">
      <pivotArea type="data" outline="0" fieldPosition="0">
        <references count="2">
          <reference field="4294967294" count="1" selected="0">
            <x v="0"/>
          </reference>
          <reference field="1" count="1" selected="0">
            <x v="1"/>
          </reference>
        </references>
      </pivotArea>
    </chartFormat>
    <chartFormat chart="8" format="2" series="1">
      <pivotArea type="data" outline="0" fieldPosition="0">
        <references count="2">
          <reference field="4294967294" count="1" selected="0">
            <x v="0"/>
          </reference>
          <reference field="1" count="1" selected="0">
            <x v="2"/>
          </reference>
        </references>
      </pivotArea>
    </chartFormat>
    <chartFormat chart="8" format="3" series="1">
      <pivotArea type="data" outline="0" fieldPosition="0">
        <references count="2">
          <reference field="4294967294" count="1" selected="0">
            <x v="0"/>
          </reference>
          <reference field="1" count="1" selected="0">
            <x v="3"/>
          </reference>
        </references>
      </pivotArea>
    </chartFormat>
    <chartFormat chart="8" format="4" series="1">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ndor" xr10:uid="{00000000-0013-0000-FFFF-FFFF01000000}" sourceName="Vendor">
  <pivotTables>
    <pivotTable tabId="6" name="PivotTable1"/>
    <pivotTable tabId="6" name="PivotTable2"/>
    <pivotTable tabId="6" name="PivotTable4"/>
  </pivotTables>
  <data>
    <tabular pivotCacheId="1">
      <items count="7">
        <i x="6" s="1"/>
        <i x="5" s="1"/>
        <i x="0" s="1"/>
        <i x="4" s="1"/>
        <i x="1"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00000000-0013-0000-FFFF-FFFF02000000}" sourceName="Department">
  <pivotTables>
    <pivotTable tabId="6" name="PivotTable1"/>
    <pivotTable tabId="6" name="PivotTable2"/>
    <pivotTable tabId="6" name="PivotTable4"/>
  </pivotTables>
  <data>
    <tabular pivotCacheId="1">
      <items count="5">
        <i x="1" s="1"/>
        <i x="0" s="1"/>
        <i x="2" s="1"/>
        <i x="4"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00000000-0013-0000-FFFF-FFFF03000000}" sourceName="Status">
  <pivotTables>
    <pivotTable tabId="6" name="PivotTable1"/>
    <pivotTable tabId="6" name="PivotTable2"/>
    <pivotTable tabId="6" name="PivotTable4"/>
  </pivotTables>
  <data>
    <tabular pivotCacheId="1">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Vendor" xr10:uid="{00000000-0014-0000-FFFF-FFFF01000000}" cache="Slicer_Vendor" caption="Vendor" rowHeight="241300"/>
  <slicer name="Department" xr10:uid="{00000000-0014-0000-FFFF-FFFF02000000}" cache="Slicer_Department" caption="Department" rowHeight="241300"/>
  <slicer name="Status" xr10:uid="{00000000-0014-0000-FFFF-FFFF03000000}" cache="Slicer_Status" caption="Status"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tabSelected="1" topLeftCell="A20" zoomScale="76" workbookViewId="0">
      <selection activeCell="A15" sqref="A15"/>
    </sheetView>
  </sheetViews>
  <sheetFormatPr defaultRowHeight="15"/>
  <cols>
    <col min="1" max="1" width="25" customWidth="1"/>
    <col min="2" max="2" width="20" customWidth="1"/>
  </cols>
  <sheetData/>
  <pageMargins left="0.75" right="0.75" top="1" bottom="1" header="0.5" footer="0.5"/>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01"/>
  <sheetViews>
    <sheetView topLeftCell="A7" workbookViewId="0">
      <selection activeCell="A7" sqref="A7"/>
    </sheetView>
  </sheetViews>
  <sheetFormatPr defaultRowHeight="15"/>
  <cols>
    <col min="1" max="1" width="12" customWidth="1"/>
    <col min="2" max="2" width="15" customWidth="1"/>
    <col min="3" max="3" width="12" customWidth="1"/>
    <col min="4" max="4" width="18" customWidth="1"/>
    <col min="5" max="5" width="20" customWidth="1"/>
    <col min="6" max="6" width="12" style="8" customWidth="1"/>
    <col min="7" max="7" width="12" customWidth="1"/>
    <col min="8" max="8" width="15" customWidth="1"/>
  </cols>
  <sheetData>
    <row r="1" spans="1:8" ht="15.75">
      <c r="A1" s="3" t="s">
        <v>0</v>
      </c>
      <c r="B1" s="3" t="s">
        <v>1</v>
      </c>
      <c r="C1" s="3" t="s">
        <v>2</v>
      </c>
      <c r="D1" s="3" t="s">
        <v>3</v>
      </c>
      <c r="E1" s="3" t="s">
        <v>4</v>
      </c>
      <c r="F1" s="6" t="s">
        <v>5</v>
      </c>
      <c r="G1" s="3" t="s">
        <v>6</v>
      </c>
      <c r="H1" s="3" t="s">
        <v>7</v>
      </c>
    </row>
    <row r="2" spans="1:8">
      <c r="A2" s="4" t="s">
        <v>8</v>
      </c>
      <c r="B2" s="4" t="s">
        <v>9</v>
      </c>
      <c r="C2" s="4" t="s">
        <v>10</v>
      </c>
      <c r="D2" s="4" t="s">
        <v>11</v>
      </c>
      <c r="E2" s="4" t="s">
        <v>12</v>
      </c>
      <c r="F2" s="7">
        <v>4507.07</v>
      </c>
      <c r="G2" s="4" t="s">
        <v>13</v>
      </c>
      <c r="H2" s="4" t="s">
        <v>14</v>
      </c>
    </row>
    <row r="3" spans="1:8">
      <c r="A3" s="4" t="s">
        <v>15</v>
      </c>
      <c r="B3" s="4" t="s">
        <v>16</v>
      </c>
      <c r="C3" s="4" t="s">
        <v>17</v>
      </c>
      <c r="D3" s="4" t="s">
        <v>18</v>
      </c>
      <c r="E3" s="4" t="s">
        <v>19</v>
      </c>
      <c r="F3" s="7">
        <v>141.03</v>
      </c>
      <c r="G3" s="4" t="s">
        <v>20</v>
      </c>
      <c r="H3" s="4" t="s">
        <v>21</v>
      </c>
    </row>
    <row r="4" spans="1:8">
      <c r="A4" s="4" t="s">
        <v>22</v>
      </c>
      <c r="B4" s="4" t="s">
        <v>23</v>
      </c>
      <c r="C4" s="4" t="s">
        <v>24</v>
      </c>
      <c r="D4" s="4" t="s">
        <v>25</v>
      </c>
      <c r="E4" s="4" t="s">
        <v>26</v>
      </c>
      <c r="F4" s="7">
        <v>4543.9399999999996</v>
      </c>
      <c r="G4" s="4" t="s">
        <v>27</v>
      </c>
      <c r="H4" s="4" t="s">
        <v>28</v>
      </c>
    </row>
    <row r="5" spans="1:8">
      <c r="A5" s="4" t="s">
        <v>29</v>
      </c>
      <c r="B5" s="4" t="s">
        <v>16</v>
      </c>
      <c r="C5" s="4" t="s">
        <v>30</v>
      </c>
      <c r="D5" s="4" t="s">
        <v>31</v>
      </c>
      <c r="E5" s="4" t="s">
        <v>32</v>
      </c>
      <c r="F5" s="7">
        <v>4248.2299999999996</v>
      </c>
      <c r="G5" s="4" t="s">
        <v>27</v>
      </c>
      <c r="H5" s="4" t="s">
        <v>33</v>
      </c>
    </row>
    <row r="6" spans="1:8">
      <c r="A6" s="4" t="s">
        <v>34</v>
      </c>
      <c r="B6" s="4" t="s">
        <v>9</v>
      </c>
      <c r="C6" s="4" t="s">
        <v>35</v>
      </c>
      <c r="D6" s="4" t="s">
        <v>36</v>
      </c>
      <c r="E6" s="4" t="s">
        <v>37</v>
      </c>
      <c r="F6" s="7">
        <v>1193.82</v>
      </c>
      <c r="G6" s="4" t="s">
        <v>13</v>
      </c>
      <c r="H6" s="4" t="s">
        <v>38</v>
      </c>
    </row>
    <row r="7" spans="1:8">
      <c r="A7" s="4" t="s">
        <v>39</v>
      </c>
      <c r="B7" s="4" t="s">
        <v>40</v>
      </c>
      <c r="C7" s="4" t="s">
        <v>30</v>
      </c>
      <c r="D7" s="4" t="s">
        <v>41</v>
      </c>
      <c r="E7" s="4" t="s">
        <v>42</v>
      </c>
      <c r="F7" s="7">
        <v>1048.57</v>
      </c>
      <c r="G7" s="4" t="s">
        <v>13</v>
      </c>
      <c r="H7" s="4" t="s">
        <v>43</v>
      </c>
    </row>
    <row r="8" spans="1:8">
      <c r="A8" s="4" t="s">
        <v>39</v>
      </c>
      <c r="B8" s="4" t="s">
        <v>40</v>
      </c>
      <c r="C8" s="4" t="s">
        <v>24</v>
      </c>
      <c r="D8" s="4" t="s">
        <v>41</v>
      </c>
      <c r="E8" s="4" t="s">
        <v>44</v>
      </c>
      <c r="F8" s="7">
        <v>597.63</v>
      </c>
      <c r="G8" s="4" t="s">
        <v>20</v>
      </c>
      <c r="H8" s="4" t="s">
        <v>45</v>
      </c>
    </row>
    <row r="9" spans="1:8">
      <c r="A9" s="4" t="s">
        <v>46</v>
      </c>
      <c r="B9" s="4" t="s">
        <v>16</v>
      </c>
      <c r="C9" s="4" t="s">
        <v>47</v>
      </c>
      <c r="D9" s="4" t="s">
        <v>48</v>
      </c>
      <c r="E9" s="4" t="s">
        <v>49</v>
      </c>
      <c r="F9" s="7">
        <v>3430.88</v>
      </c>
      <c r="G9" s="4" t="s">
        <v>27</v>
      </c>
      <c r="H9" s="4" t="s">
        <v>38</v>
      </c>
    </row>
    <row r="10" spans="1:8">
      <c r="A10" s="4" t="s">
        <v>46</v>
      </c>
      <c r="B10" s="4" t="s">
        <v>23</v>
      </c>
      <c r="C10" s="4" t="s">
        <v>47</v>
      </c>
      <c r="D10" s="4" t="s">
        <v>11</v>
      </c>
      <c r="E10" s="4" t="s">
        <v>50</v>
      </c>
      <c r="F10" s="7">
        <v>4812.3900000000003</v>
      </c>
      <c r="G10" s="4" t="s">
        <v>13</v>
      </c>
      <c r="H10" s="4" t="s">
        <v>51</v>
      </c>
    </row>
    <row r="11" spans="1:8">
      <c r="A11" s="4" t="s">
        <v>52</v>
      </c>
      <c r="B11" s="4" t="s">
        <v>9</v>
      </c>
      <c r="C11" s="4" t="s">
        <v>17</v>
      </c>
      <c r="D11" s="4" t="s">
        <v>18</v>
      </c>
      <c r="E11" s="4" t="s">
        <v>53</v>
      </c>
      <c r="F11" s="7">
        <v>1326.54</v>
      </c>
      <c r="G11" s="4" t="s">
        <v>27</v>
      </c>
      <c r="H11" s="4" t="s">
        <v>54</v>
      </c>
    </row>
    <row r="12" spans="1:8">
      <c r="A12" s="4" t="s">
        <v>55</v>
      </c>
      <c r="B12" s="4" t="s">
        <v>56</v>
      </c>
      <c r="C12" s="4" t="s">
        <v>57</v>
      </c>
      <c r="D12" s="4" t="s">
        <v>25</v>
      </c>
      <c r="E12" s="4" t="s">
        <v>58</v>
      </c>
      <c r="F12" s="7">
        <v>4578.58</v>
      </c>
      <c r="G12" s="4" t="s">
        <v>27</v>
      </c>
      <c r="H12" s="4" t="s">
        <v>59</v>
      </c>
    </row>
    <row r="13" spans="1:8">
      <c r="A13" s="4" t="s">
        <v>60</v>
      </c>
      <c r="B13" s="4" t="s">
        <v>9</v>
      </c>
      <c r="C13" s="4" t="s">
        <v>10</v>
      </c>
      <c r="D13" s="4" t="s">
        <v>25</v>
      </c>
      <c r="E13" s="4" t="s">
        <v>61</v>
      </c>
      <c r="F13" s="7">
        <v>1723.08</v>
      </c>
      <c r="G13" s="4" t="s">
        <v>27</v>
      </c>
      <c r="H13" s="4" t="s">
        <v>62</v>
      </c>
    </row>
    <row r="14" spans="1:8">
      <c r="A14" s="4" t="s">
        <v>63</v>
      </c>
      <c r="B14" s="4" t="s">
        <v>40</v>
      </c>
      <c r="C14" s="4" t="s">
        <v>24</v>
      </c>
      <c r="D14" s="4" t="s">
        <v>11</v>
      </c>
      <c r="E14" s="4" t="s">
        <v>64</v>
      </c>
      <c r="F14" s="7">
        <v>1407.37</v>
      </c>
      <c r="G14" s="4" t="s">
        <v>20</v>
      </c>
      <c r="H14" s="4" t="s">
        <v>65</v>
      </c>
    </row>
    <row r="15" spans="1:8">
      <c r="A15" s="4" t="s">
        <v>63</v>
      </c>
      <c r="B15" s="4" t="s">
        <v>9</v>
      </c>
      <c r="C15" s="4" t="s">
        <v>30</v>
      </c>
      <c r="D15" s="4" t="s">
        <v>41</v>
      </c>
      <c r="E15" s="4" t="s">
        <v>66</v>
      </c>
      <c r="F15" s="7">
        <v>4829.88</v>
      </c>
      <c r="G15" s="4" t="s">
        <v>20</v>
      </c>
      <c r="H15" s="4" t="s">
        <v>14</v>
      </c>
    </row>
    <row r="16" spans="1:8">
      <c r="A16" s="4" t="s">
        <v>67</v>
      </c>
      <c r="B16" s="4" t="s">
        <v>23</v>
      </c>
      <c r="C16" s="4" t="s">
        <v>24</v>
      </c>
      <c r="D16" s="4" t="s">
        <v>48</v>
      </c>
      <c r="E16" s="4" t="s">
        <v>68</v>
      </c>
      <c r="F16" s="7">
        <v>4818.0200000000004</v>
      </c>
      <c r="G16" s="4" t="s">
        <v>27</v>
      </c>
      <c r="H16" s="4" t="s">
        <v>69</v>
      </c>
    </row>
    <row r="17" spans="1:8">
      <c r="A17" s="4" t="s">
        <v>70</v>
      </c>
      <c r="B17" s="4" t="s">
        <v>16</v>
      </c>
      <c r="C17" s="4" t="s">
        <v>17</v>
      </c>
      <c r="D17" s="4" t="s">
        <v>48</v>
      </c>
      <c r="E17" s="4" t="s">
        <v>71</v>
      </c>
      <c r="F17" s="7">
        <v>4548.07</v>
      </c>
      <c r="G17" s="4" t="s">
        <v>27</v>
      </c>
      <c r="H17" s="4" t="s">
        <v>62</v>
      </c>
    </row>
    <row r="18" spans="1:8">
      <c r="A18" s="4" t="s">
        <v>72</v>
      </c>
      <c r="B18" s="4" t="s">
        <v>56</v>
      </c>
      <c r="C18" s="4" t="s">
        <v>24</v>
      </c>
      <c r="D18" s="4" t="s">
        <v>18</v>
      </c>
      <c r="E18" s="4" t="s">
        <v>73</v>
      </c>
      <c r="F18" s="7">
        <v>4733.66</v>
      </c>
      <c r="G18" s="4" t="s">
        <v>13</v>
      </c>
      <c r="H18" s="4" t="s">
        <v>74</v>
      </c>
    </row>
    <row r="19" spans="1:8">
      <c r="A19" s="4" t="s">
        <v>75</v>
      </c>
      <c r="B19" s="4" t="s">
        <v>16</v>
      </c>
      <c r="C19" s="4" t="s">
        <v>30</v>
      </c>
      <c r="D19" s="4" t="s">
        <v>31</v>
      </c>
      <c r="E19" s="4" t="s">
        <v>76</v>
      </c>
      <c r="F19" s="7">
        <v>2861.33</v>
      </c>
      <c r="G19" s="4" t="s">
        <v>20</v>
      </c>
      <c r="H19" s="4" t="s">
        <v>77</v>
      </c>
    </row>
    <row r="20" spans="1:8">
      <c r="A20" s="4" t="s">
        <v>78</v>
      </c>
      <c r="B20" s="4" t="s">
        <v>56</v>
      </c>
      <c r="C20" s="4" t="s">
        <v>47</v>
      </c>
      <c r="D20" s="4" t="s">
        <v>31</v>
      </c>
      <c r="E20" s="4" t="s">
        <v>79</v>
      </c>
      <c r="F20" s="7">
        <v>4931.74</v>
      </c>
      <c r="G20" s="4" t="s">
        <v>13</v>
      </c>
      <c r="H20" s="4" t="s">
        <v>80</v>
      </c>
    </row>
    <row r="21" spans="1:8">
      <c r="A21" s="4" t="s">
        <v>78</v>
      </c>
      <c r="B21" s="4" t="s">
        <v>16</v>
      </c>
      <c r="C21" s="4" t="s">
        <v>47</v>
      </c>
      <c r="D21" s="4" t="s">
        <v>41</v>
      </c>
      <c r="E21" s="4" t="s">
        <v>81</v>
      </c>
      <c r="F21" s="7">
        <v>781.31</v>
      </c>
      <c r="G21" s="4" t="s">
        <v>27</v>
      </c>
      <c r="H21" s="4" t="s">
        <v>82</v>
      </c>
    </row>
    <row r="22" spans="1:8">
      <c r="A22" s="4" t="s">
        <v>83</v>
      </c>
      <c r="B22" s="4" t="s">
        <v>23</v>
      </c>
      <c r="C22" s="4" t="s">
        <v>35</v>
      </c>
      <c r="D22" s="4" t="s">
        <v>25</v>
      </c>
      <c r="E22" s="4" t="s">
        <v>84</v>
      </c>
      <c r="F22" s="7">
        <v>4724.3</v>
      </c>
      <c r="G22" s="4" t="s">
        <v>27</v>
      </c>
      <c r="H22" s="4" t="s">
        <v>59</v>
      </c>
    </row>
    <row r="23" spans="1:8">
      <c r="A23" s="4" t="s">
        <v>85</v>
      </c>
      <c r="B23" s="4" t="s">
        <v>16</v>
      </c>
      <c r="C23" s="4" t="s">
        <v>24</v>
      </c>
      <c r="D23" s="4" t="s">
        <v>31</v>
      </c>
      <c r="E23" s="4" t="s">
        <v>86</v>
      </c>
      <c r="F23" s="7">
        <v>3992.54</v>
      </c>
      <c r="G23" s="4" t="s">
        <v>27</v>
      </c>
      <c r="H23" s="4" t="s">
        <v>80</v>
      </c>
    </row>
    <row r="24" spans="1:8">
      <c r="A24" s="4" t="s">
        <v>87</v>
      </c>
      <c r="B24" s="4" t="s">
        <v>9</v>
      </c>
      <c r="C24" s="4" t="s">
        <v>57</v>
      </c>
      <c r="D24" s="4" t="s">
        <v>41</v>
      </c>
      <c r="E24" s="4" t="s">
        <v>88</v>
      </c>
      <c r="F24" s="7">
        <v>3789.04</v>
      </c>
      <c r="G24" s="4" t="s">
        <v>27</v>
      </c>
      <c r="H24" s="4" t="s">
        <v>28</v>
      </c>
    </row>
    <row r="25" spans="1:8">
      <c r="A25" s="4" t="s">
        <v>89</v>
      </c>
      <c r="B25" s="4" t="s">
        <v>40</v>
      </c>
      <c r="C25" s="4" t="s">
        <v>57</v>
      </c>
      <c r="D25" s="4" t="s">
        <v>41</v>
      </c>
      <c r="E25" s="4" t="s">
        <v>90</v>
      </c>
      <c r="F25" s="7">
        <v>4557.59</v>
      </c>
      <c r="G25" s="4" t="s">
        <v>13</v>
      </c>
      <c r="H25" s="4" t="s">
        <v>91</v>
      </c>
    </row>
    <row r="26" spans="1:8">
      <c r="A26" s="4" t="s">
        <v>89</v>
      </c>
      <c r="B26" s="4" t="s">
        <v>40</v>
      </c>
      <c r="C26" s="4" t="s">
        <v>30</v>
      </c>
      <c r="D26" s="4" t="s">
        <v>48</v>
      </c>
      <c r="E26" s="4" t="s">
        <v>92</v>
      </c>
      <c r="F26" s="7">
        <v>4408.32</v>
      </c>
      <c r="G26" s="4" t="s">
        <v>13</v>
      </c>
      <c r="H26" s="4" t="s">
        <v>93</v>
      </c>
    </row>
    <row r="27" spans="1:8">
      <c r="A27" s="4" t="s">
        <v>94</v>
      </c>
      <c r="B27" s="4" t="s">
        <v>40</v>
      </c>
      <c r="C27" s="4" t="s">
        <v>35</v>
      </c>
      <c r="D27" s="4" t="s">
        <v>25</v>
      </c>
      <c r="E27" s="4" t="s">
        <v>95</v>
      </c>
      <c r="F27" s="7">
        <v>4819.92</v>
      </c>
      <c r="G27" s="4" t="s">
        <v>20</v>
      </c>
      <c r="H27" s="4" t="s">
        <v>21</v>
      </c>
    </row>
    <row r="28" spans="1:8">
      <c r="A28" s="4" t="s">
        <v>96</v>
      </c>
      <c r="B28" s="4" t="s">
        <v>40</v>
      </c>
      <c r="C28" s="4" t="s">
        <v>47</v>
      </c>
      <c r="D28" s="4" t="s">
        <v>48</v>
      </c>
      <c r="E28" s="4" t="s">
        <v>97</v>
      </c>
      <c r="F28" s="7">
        <v>4207.74</v>
      </c>
      <c r="G28" s="4" t="s">
        <v>13</v>
      </c>
      <c r="H28" s="4" t="s">
        <v>43</v>
      </c>
    </row>
    <row r="29" spans="1:8">
      <c r="A29" s="4" t="s">
        <v>98</v>
      </c>
      <c r="B29" s="4" t="s">
        <v>56</v>
      </c>
      <c r="C29" s="4" t="s">
        <v>30</v>
      </c>
      <c r="D29" s="4" t="s">
        <v>36</v>
      </c>
      <c r="E29" s="4" t="s">
        <v>99</v>
      </c>
      <c r="F29" s="7">
        <v>2502.35</v>
      </c>
      <c r="G29" s="4" t="s">
        <v>13</v>
      </c>
      <c r="H29" s="4" t="s">
        <v>100</v>
      </c>
    </row>
    <row r="30" spans="1:8">
      <c r="A30" s="4" t="s">
        <v>98</v>
      </c>
      <c r="B30" s="4" t="s">
        <v>56</v>
      </c>
      <c r="C30" s="4" t="s">
        <v>35</v>
      </c>
      <c r="D30" s="4" t="s">
        <v>25</v>
      </c>
      <c r="E30" s="4" t="s">
        <v>101</v>
      </c>
      <c r="F30" s="7">
        <v>2055.98</v>
      </c>
      <c r="G30" s="4" t="s">
        <v>27</v>
      </c>
      <c r="H30" s="4" t="s">
        <v>102</v>
      </c>
    </row>
    <row r="31" spans="1:8">
      <c r="A31" s="4" t="s">
        <v>103</v>
      </c>
      <c r="B31" s="4" t="s">
        <v>9</v>
      </c>
      <c r="C31" s="4" t="s">
        <v>35</v>
      </c>
      <c r="D31" s="4" t="s">
        <v>25</v>
      </c>
      <c r="E31" s="4" t="s">
        <v>104</v>
      </c>
      <c r="F31" s="7">
        <v>4979.37</v>
      </c>
      <c r="G31" s="4" t="s">
        <v>13</v>
      </c>
      <c r="H31" s="4" t="s">
        <v>82</v>
      </c>
    </row>
    <row r="32" spans="1:8">
      <c r="A32" s="4" t="s">
        <v>105</v>
      </c>
      <c r="B32" s="4" t="s">
        <v>40</v>
      </c>
      <c r="C32" s="4" t="s">
        <v>24</v>
      </c>
      <c r="D32" s="4" t="s">
        <v>11</v>
      </c>
      <c r="E32" s="4" t="s">
        <v>106</v>
      </c>
      <c r="F32" s="7">
        <v>2828.15</v>
      </c>
      <c r="G32" s="4" t="s">
        <v>27</v>
      </c>
      <c r="H32" s="4" t="s">
        <v>107</v>
      </c>
    </row>
    <row r="33" spans="1:8">
      <c r="A33" s="4" t="s">
        <v>108</v>
      </c>
      <c r="B33" s="4" t="s">
        <v>9</v>
      </c>
      <c r="C33" s="4" t="s">
        <v>57</v>
      </c>
      <c r="D33" s="4" t="s">
        <v>31</v>
      </c>
      <c r="E33" s="4" t="s">
        <v>109</v>
      </c>
      <c r="F33" s="7">
        <v>2808.66</v>
      </c>
      <c r="G33" s="4" t="s">
        <v>20</v>
      </c>
      <c r="H33" s="4" t="s">
        <v>110</v>
      </c>
    </row>
    <row r="34" spans="1:8">
      <c r="A34" s="4" t="s">
        <v>108</v>
      </c>
      <c r="B34" s="4" t="s">
        <v>9</v>
      </c>
      <c r="C34" s="4" t="s">
        <v>47</v>
      </c>
      <c r="D34" s="4" t="s">
        <v>25</v>
      </c>
      <c r="E34" s="4" t="s">
        <v>111</v>
      </c>
      <c r="F34" s="7">
        <v>1089.03</v>
      </c>
      <c r="G34" s="4" t="s">
        <v>20</v>
      </c>
      <c r="H34" s="4" t="s">
        <v>112</v>
      </c>
    </row>
    <row r="35" spans="1:8">
      <c r="A35" s="4" t="s">
        <v>113</v>
      </c>
      <c r="B35" s="4" t="s">
        <v>40</v>
      </c>
      <c r="C35" s="4" t="s">
        <v>10</v>
      </c>
      <c r="D35" s="4" t="s">
        <v>31</v>
      </c>
      <c r="E35" s="4" t="s">
        <v>114</v>
      </c>
      <c r="F35" s="7">
        <v>4557.8999999999996</v>
      </c>
      <c r="G35" s="4" t="s">
        <v>27</v>
      </c>
      <c r="H35" s="4" t="s">
        <v>115</v>
      </c>
    </row>
    <row r="36" spans="1:8">
      <c r="A36" s="4" t="s">
        <v>116</v>
      </c>
      <c r="B36" s="4" t="s">
        <v>40</v>
      </c>
      <c r="C36" s="4" t="s">
        <v>57</v>
      </c>
      <c r="D36" s="4" t="s">
        <v>25</v>
      </c>
      <c r="E36" s="4" t="s">
        <v>117</v>
      </c>
      <c r="F36" s="7">
        <v>3041.87</v>
      </c>
      <c r="G36" s="4" t="s">
        <v>27</v>
      </c>
      <c r="H36" s="4" t="s">
        <v>69</v>
      </c>
    </row>
    <row r="37" spans="1:8">
      <c r="A37" s="4" t="s">
        <v>118</v>
      </c>
      <c r="B37" s="4" t="s">
        <v>16</v>
      </c>
      <c r="C37" s="4" t="s">
        <v>35</v>
      </c>
      <c r="D37" s="4" t="s">
        <v>11</v>
      </c>
      <c r="E37" s="4" t="s">
        <v>119</v>
      </c>
      <c r="F37" s="7">
        <v>2736.35</v>
      </c>
      <c r="G37" s="4" t="s">
        <v>27</v>
      </c>
      <c r="H37" s="4" t="s">
        <v>120</v>
      </c>
    </row>
    <row r="38" spans="1:8">
      <c r="A38" s="4" t="s">
        <v>121</v>
      </c>
      <c r="B38" s="4" t="s">
        <v>9</v>
      </c>
      <c r="C38" s="4" t="s">
        <v>30</v>
      </c>
      <c r="D38" s="4" t="s">
        <v>18</v>
      </c>
      <c r="E38" s="4" t="s">
        <v>122</v>
      </c>
      <c r="F38" s="7">
        <v>4442.93</v>
      </c>
      <c r="G38" s="4" t="s">
        <v>27</v>
      </c>
      <c r="H38" s="4" t="s">
        <v>38</v>
      </c>
    </row>
    <row r="39" spans="1:8">
      <c r="A39" s="4" t="s">
        <v>123</v>
      </c>
      <c r="B39" s="4" t="s">
        <v>9</v>
      </c>
      <c r="C39" s="4" t="s">
        <v>17</v>
      </c>
      <c r="D39" s="4" t="s">
        <v>36</v>
      </c>
      <c r="E39" s="4" t="s">
        <v>124</v>
      </c>
      <c r="F39" s="7">
        <v>3858.99</v>
      </c>
      <c r="G39" s="4" t="s">
        <v>27</v>
      </c>
      <c r="H39" s="4" t="s">
        <v>125</v>
      </c>
    </row>
    <row r="40" spans="1:8">
      <c r="A40" s="4" t="s">
        <v>126</v>
      </c>
      <c r="B40" s="4" t="s">
        <v>9</v>
      </c>
      <c r="C40" s="4" t="s">
        <v>35</v>
      </c>
      <c r="D40" s="4" t="s">
        <v>31</v>
      </c>
      <c r="E40" s="4" t="s">
        <v>127</v>
      </c>
      <c r="F40" s="7">
        <v>1987.84</v>
      </c>
      <c r="G40" s="4" t="s">
        <v>27</v>
      </c>
      <c r="H40" s="4" t="s">
        <v>110</v>
      </c>
    </row>
    <row r="41" spans="1:8">
      <c r="A41" s="4" t="s">
        <v>126</v>
      </c>
      <c r="B41" s="4" t="s">
        <v>23</v>
      </c>
      <c r="C41" s="4" t="s">
        <v>24</v>
      </c>
      <c r="D41" s="4" t="s">
        <v>31</v>
      </c>
      <c r="E41" s="4" t="s">
        <v>128</v>
      </c>
      <c r="F41" s="7">
        <v>3658.59</v>
      </c>
      <c r="G41" s="4" t="s">
        <v>13</v>
      </c>
      <c r="H41" s="4" t="s">
        <v>129</v>
      </c>
    </row>
    <row r="42" spans="1:8">
      <c r="A42" s="4" t="s">
        <v>130</v>
      </c>
      <c r="B42" s="4" t="s">
        <v>40</v>
      </c>
      <c r="C42" s="4" t="s">
        <v>17</v>
      </c>
      <c r="D42" s="4" t="s">
        <v>48</v>
      </c>
      <c r="E42" s="4" t="s">
        <v>131</v>
      </c>
      <c r="F42" s="7">
        <v>1986.29</v>
      </c>
      <c r="G42" s="4" t="s">
        <v>27</v>
      </c>
      <c r="H42" s="4" t="s">
        <v>69</v>
      </c>
    </row>
    <row r="43" spans="1:8">
      <c r="A43" s="4" t="s">
        <v>132</v>
      </c>
      <c r="B43" s="4" t="s">
        <v>9</v>
      </c>
      <c r="C43" s="4" t="s">
        <v>35</v>
      </c>
      <c r="D43" s="4" t="s">
        <v>11</v>
      </c>
      <c r="E43" s="4" t="s">
        <v>133</v>
      </c>
      <c r="F43" s="7">
        <v>3942.41</v>
      </c>
      <c r="G43" s="4" t="s">
        <v>27</v>
      </c>
      <c r="H43" s="4" t="s">
        <v>93</v>
      </c>
    </row>
    <row r="44" spans="1:8">
      <c r="A44" s="4" t="s">
        <v>134</v>
      </c>
      <c r="B44" s="4" t="s">
        <v>40</v>
      </c>
      <c r="C44" s="4" t="s">
        <v>57</v>
      </c>
      <c r="D44" s="4" t="s">
        <v>31</v>
      </c>
      <c r="E44" s="4" t="s">
        <v>135</v>
      </c>
      <c r="F44" s="7">
        <v>1446.07</v>
      </c>
      <c r="G44" s="4" t="s">
        <v>27</v>
      </c>
      <c r="H44" s="4" t="s">
        <v>14</v>
      </c>
    </row>
    <row r="45" spans="1:8">
      <c r="A45" s="4" t="s">
        <v>136</v>
      </c>
      <c r="B45" s="4" t="s">
        <v>23</v>
      </c>
      <c r="C45" s="4" t="s">
        <v>30</v>
      </c>
      <c r="D45" s="4" t="s">
        <v>41</v>
      </c>
      <c r="E45" s="4" t="s">
        <v>137</v>
      </c>
      <c r="F45" s="7">
        <v>2231.7800000000002</v>
      </c>
      <c r="G45" s="4" t="s">
        <v>27</v>
      </c>
      <c r="H45" s="4" t="s">
        <v>138</v>
      </c>
    </row>
    <row r="46" spans="1:8">
      <c r="A46" s="4" t="s">
        <v>136</v>
      </c>
      <c r="B46" s="4" t="s">
        <v>16</v>
      </c>
      <c r="C46" s="4" t="s">
        <v>47</v>
      </c>
      <c r="D46" s="4" t="s">
        <v>48</v>
      </c>
      <c r="E46" s="4" t="s">
        <v>139</v>
      </c>
      <c r="F46" s="7">
        <v>506.84</v>
      </c>
      <c r="G46" s="4" t="s">
        <v>27</v>
      </c>
      <c r="H46" s="4" t="s">
        <v>140</v>
      </c>
    </row>
    <row r="47" spans="1:8">
      <c r="A47" s="4" t="s">
        <v>141</v>
      </c>
      <c r="B47" s="4" t="s">
        <v>16</v>
      </c>
      <c r="C47" s="4" t="s">
        <v>47</v>
      </c>
      <c r="D47" s="4" t="s">
        <v>25</v>
      </c>
      <c r="E47" s="4" t="s">
        <v>142</v>
      </c>
      <c r="F47" s="7">
        <v>4537.24</v>
      </c>
      <c r="G47" s="4" t="s">
        <v>27</v>
      </c>
      <c r="H47" s="4" t="s">
        <v>110</v>
      </c>
    </row>
    <row r="48" spans="1:8">
      <c r="A48" s="4" t="s">
        <v>143</v>
      </c>
      <c r="B48" s="4" t="s">
        <v>9</v>
      </c>
      <c r="C48" s="4" t="s">
        <v>47</v>
      </c>
      <c r="D48" s="4" t="s">
        <v>25</v>
      </c>
      <c r="E48" s="4" t="s">
        <v>144</v>
      </c>
      <c r="F48" s="7">
        <v>689.34</v>
      </c>
      <c r="G48" s="4" t="s">
        <v>20</v>
      </c>
      <c r="H48" s="4" t="s">
        <v>145</v>
      </c>
    </row>
    <row r="49" spans="1:8">
      <c r="A49" s="4" t="s">
        <v>146</v>
      </c>
      <c r="B49" s="4" t="s">
        <v>40</v>
      </c>
      <c r="C49" s="4" t="s">
        <v>17</v>
      </c>
      <c r="D49" s="4" t="s">
        <v>25</v>
      </c>
      <c r="E49" s="4" t="s">
        <v>147</v>
      </c>
      <c r="F49" s="7">
        <v>4505.09</v>
      </c>
      <c r="G49" s="4" t="s">
        <v>20</v>
      </c>
      <c r="H49" s="4" t="s">
        <v>110</v>
      </c>
    </row>
    <row r="50" spans="1:8">
      <c r="A50" s="4" t="s">
        <v>148</v>
      </c>
      <c r="B50" s="4" t="s">
        <v>16</v>
      </c>
      <c r="C50" s="4" t="s">
        <v>30</v>
      </c>
      <c r="D50" s="4" t="s">
        <v>25</v>
      </c>
      <c r="E50" s="4" t="s">
        <v>149</v>
      </c>
      <c r="F50" s="7">
        <v>2340.2600000000002</v>
      </c>
      <c r="G50" s="4" t="s">
        <v>27</v>
      </c>
      <c r="H50" s="4" t="s">
        <v>150</v>
      </c>
    </row>
    <row r="51" spans="1:8">
      <c r="A51" s="4" t="s">
        <v>151</v>
      </c>
      <c r="B51" s="4" t="s">
        <v>16</v>
      </c>
      <c r="C51" s="4" t="s">
        <v>17</v>
      </c>
      <c r="D51" s="4" t="s">
        <v>48</v>
      </c>
      <c r="E51" s="4" t="s">
        <v>152</v>
      </c>
      <c r="F51" s="7">
        <v>106.2</v>
      </c>
      <c r="G51" s="4" t="s">
        <v>27</v>
      </c>
      <c r="H51" s="4" t="s">
        <v>43</v>
      </c>
    </row>
    <row r="52" spans="1:8">
      <c r="A52" s="4" t="s">
        <v>153</v>
      </c>
      <c r="B52" s="4" t="s">
        <v>9</v>
      </c>
      <c r="C52" s="4" t="s">
        <v>24</v>
      </c>
      <c r="D52" s="4" t="s">
        <v>48</v>
      </c>
      <c r="E52" s="4" t="s">
        <v>154</v>
      </c>
      <c r="F52" s="7">
        <v>1703.34</v>
      </c>
      <c r="G52" s="4" t="s">
        <v>27</v>
      </c>
      <c r="H52" s="4" t="s">
        <v>28</v>
      </c>
    </row>
    <row r="53" spans="1:8">
      <c r="A53" s="4" t="s">
        <v>155</v>
      </c>
      <c r="B53" s="4" t="s">
        <v>16</v>
      </c>
      <c r="C53" s="4" t="s">
        <v>17</v>
      </c>
      <c r="D53" s="4" t="s">
        <v>41</v>
      </c>
      <c r="E53" s="4" t="s">
        <v>156</v>
      </c>
      <c r="F53" s="7">
        <v>1340.44</v>
      </c>
      <c r="G53" s="4" t="s">
        <v>27</v>
      </c>
      <c r="H53" s="4" t="s">
        <v>157</v>
      </c>
    </row>
    <row r="54" spans="1:8">
      <c r="A54" s="4" t="s">
        <v>158</v>
      </c>
      <c r="B54" s="4" t="s">
        <v>9</v>
      </c>
      <c r="C54" s="4" t="s">
        <v>47</v>
      </c>
      <c r="D54" s="4" t="s">
        <v>25</v>
      </c>
      <c r="E54" s="4" t="s">
        <v>159</v>
      </c>
      <c r="F54" s="7">
        <v>2072.17</v>
      </c>
      <c r="G54" s="4" t="s">
        <v>20</v>
      </c>
      <c r="H54" s="4" t="s">
        <v>91</v>
      </c>
    </row>
    <row r="55" spans="1:8">
      <c r="A55" s="4" t="s">
        <v>160</v>
      </c>
      <c r="B55" s="4" t="s">
        <v>23</v>
      </c>
      <c r="C55" s="4" t="s">
        <v>10</v>
      </c>
      <c r="D55" s="4" t="s">
        <v>11</v>
      </c>
      <c r="E55" s="4" t="s">
        <v>161</v>
      </c>
      <c r="F55" s="7">
        <v>4489.1000000000004</v>
      </c>
      <c r="G55" s="4" t="s">
        <v>27</v>
      </c>
      <c r="H55" s="4" t="s">
        <v>69</v>
      </c>
    </row>
    <row r="56" spans="1:8">
      <c r="A56" s="4" t="s">
        <v>162</v>
      </c>
      <c r="B56" s="4" t="s">
        <v>9</v>
      </c>
      <c r="C56" s="4" t="s">
        <v>47</v>
      </c>
      <c r="D56" s="4" t="s">
        <v>18</v>
      </c>
      <c r="E56" s="4" t="s">
        <v>163</v>
      </c>
      <c r="F56" s="7">
        <v>2607.65</v>
      </c>
      <c r="G56" s="4" t="s">
        <v>13</v>
      </c>
      <c r="H56" s="4" t="s">
        <v>129</v>
      </c>
    </row>
    <row r="57" spans="1:8">
      <c r="A57" s="4" t="s">
        <v>164</v>
      </c>
      <c r="B57" s="4" t="s">
        <v>56</v>
      </c>
      <c r="C57" s="4" t="s">
        <v>30</v>
      </c>
      <c r="D57" s="4" t="s">
        <v>31</v>
      </c>
      <c r="E57" s="4" t="s">
        <v>165</v>
      </c>
      <c r="F57" s="7">
        <v>2521.0100000000002</v>
      </c>
      <c r="G57" s="4" t="s">
        <v>27</v>
      </c>
      <c r="H57" s="4" t="s">
        <v>51</v>
      </c>
    </row>
    <row r="58" spans="1:8">
      <c r="A58" s="4" t="s">
        <v>166</v>
      </c>
      <c r="B58" s="4" t="s">
        <v>23</v>
      </c>
      <c r="C58" s="4" t="s">
        <v>30</v>
      </c>
      <c r="D58" s="4" t="s">
        <v>31</v>
      </c>
      <c r="E58" s="4" t="s">
        <v>167</v>
      </c>
      <c r="F58" s="7">
        <v>973.27</v>
      </c>
      <c r="G58" s="4" t="s">
        <v>27</v>
      </c>
      <c r="H58" s="4" t="s">
        <v>43</v>
      </c>
    </row>
    <row r="59" spans="1:8">
      <c r="A59" s="4" t="s">
        <v>166</v>
      </c>
      <c r="B59" s="4" t="s">
        <v>56</v>
      </c>
      <c r="C59" s="4" t="s">
        <v>47</v>
      </c>
      <c r="D59" s="4" t="s">
        <v>31</v>
      </c>
      <c r="E59" s="4" t="s">
        <v>168</v>
      </c>
      <c r="F59" s="7">
        <v>2887.81</v>
      </c>
      <c r="G59" s="4" t="s">
        <v>20</v>
      </c>
      <c r="H59" s="4" t="s">
        <v>21</v>
      </c>
    </row>
    <row r="60" spans="1:8">
      <c r="A60" s="4" t="s">
        <v>169</v>
      </c>
      <c r="B60" s="4" t="s">
        <v>56</v>
      </c>
      <c r="C60" s="4" t="s">
        <v>17</v>
      </c>
      <c r="D60" s="4" t="s">
        <v>31</v>
      </c>
      <c r="E60" s="4" t="s">
        <v>170</v>
      </c>
      <c r="F60" s="7">
        <v>2600.48</v>
      </c>
      <c r="G60" s="4" t="s">
        <v>27</v>
      </c>
      <c r="H60" s="4" t="s">
        <v>80</v>
      </c>
    </row>
    <row r="61" spans="1:8">
      <c r="A61" s="4" t="s">
        <v>169</v>
      </c>
      <c r="B61" s="4" t="s">
        <v>9</v>
      </c>
      <c r="C61" s="4" t="s">
        <v>47</v>
      </c>
      <c r="D61" s="4" t="s">
        <v>41</v>
      </c>
      <c r="E61" s="4" t="s">
        <v>171</v>
      </c>
      <c r="F61" s="7">
        <v>2766.23</v>
      </c>
      <c r="G61" s="4" t="s">
        <v>13</v>
      </c>
      <c r="H61" s="4" t="s">
        <v>172</v>
      </c>
    </row>
    <row r="62" spans="1:8">
      <c r="A62" s="4" t="s">
        <v>173</v>
      </c>
      <c r="B62" s="4" t="s">
        <v>56</v>
      </c>
      <c r="C62" s="4" t="s">
        <v>24</v>
      </c>
      <c r="D62" s="4" t="s">
        <v>31</v>
      </c>
      <c r="E62" s="4" t="s">
        <v>174</v>
      </c>
      <c r="F62" s="7">
        <v>3274.85</v>
      </c>
      <c r="G62" s="4" t="s">
        <v>27</v>
      </c>
      <c r="H62" s="4" t="s">
        <v>69</v>
      </c>
    </row>
    <row r="63" spans="1:8">
      <c r="A63" s="4" t="s">
        <v>175</v>
      </c>
      <c r="B63" s="4" t="s">
        <v>56</v>
      </c>
      <c r="C63" s="4" t="s">
        <v>47</v>
      </c>
      <c r="D63" s="4" t="s">
        <v>36</v>
      </c>
      <c r="E63" s="4" t="s">
        <v>176</v>
      </c>
      <c r="F63" s="7">
        <v>3013.36</v>
      </c>
      <c r="G63" s="4" t="s">
        <v>27</v>
      </c>
      <c r="H63" s="4" t="s">
        <v>33</v>
      </c>
    </row>
    <row r="64" spans="1:8">
      <c r="A64" s="4" t="s">
        <v>177</v>
      </c>
      <c r="B64" s="4" t="s">
        <v>23</v>
      </c>
      <c r="C64" s="4" t="s">
        <v>30</v>
      </c>
      <c r="D64" s="4" t="s">
        <v>48</v>
      </c>
      <c r="E64" s="4" t="s">
        <v>178</v>
      </c>
      <c r="F64" s="7">
        <v>4702.17</v>
      </c>
      <c r="G64" s="4" t="s">
        <v>13</v>
      </c>
      <c r="H64" s="4" t="s">
        <v>38</v>
      </c>
    </row>
    <row r="65" spans="1:8">
      <c r="A65" s="4" t="s">
        <v>179</v>
      </c>
      <c r="B65" s="4" t="s">
        <v>40</v>
      </c>
      <c r="C65" s="4" t="s">
        <v>17</v>
      </c>
      <c r="D65" s="4" t="s">
        <v>41</v>
      </c>
      <c r="E65" s="4" t="s">
        <v>180</v>
      </c>
      <c r="F65" s="7">
        <v>2770.17</v>
      </c>
      <c r="G65" s="4" t="s">
        <v>27</v>
      </c>
      <c r="H65" s="4" t="s">
        <v>150</v>
      </c>
    </row>
    <row r="66" spans="1:8">
      <c r="A66" s="4" t="s">
        <v>181</v>
      </c>
      <c r="B66" s="4" t="s">
        <v>23</v>
      </c>
      <c r="C66" s="4" t="s">
        <v>30</v>
      </c>
      <c r="D66" s="4" t="s">
        <v>11</v>
      </c>
      <c r="E66" s="4" t="s">
        <v>182</v>
      </c>
      <c r="F66" s="7">
        <v>4342.71</v>
      </c>
      <c r="G66" s="4" t="s">
        <v>27</v>
      </c>
      <c r="H66" s="4" t="s">
        <v>120</v>
      </c>
    </row>
    <row r="67" spans="1:8">
      <c r="A67" s="4" t="s">
        <v>183</v>
      </c>
      <c r="B67" s="4" t="s">
        <v>40</v>
      </c>
      <c r="C67" s="4" t="s">
        <v>35</v>
      </c>
      <c r="D67" s="4" t="s">
        <v>31</v>
      </c>
      <c r="E67" s="4" t="s">
        <v>184</v>
      </c>
      <c r="F67" s="7">
        <v>3067.34</v>
      </c>
      <c r="G67" s="4" t="s">
        <v>27</v>
      </c>
      <c r="H67" s="4" t="s">
        <v>150</v>
      </c>
    </row>
    <row r="68" spans="1:8">
      <c r="A68" s="4" t="s">
        <v>183</v>
      </c>
      <c r="B68" s="4" t="s">
        <v>9</v>
      </c>
      <c r="C68" s="4" t="s">
        <v>35</v>
      </c>
      <c r="D68" s="4" t="s">
        <v>36</v>
      </c>
      <c r="E68" s="4" t="s">
        <v>185</v>
      </c>
      <c r="F68" s="7">
        <v>3188.33</v>
      </c>
      <c r="G68" s="4" t="s">
        <v>27</v>
      </c>
      <c r="H68" s="4" t="s">
        <v>186</v>
      </c>
    </row>
    <row r="69" spans="1:8">
      <c r="A69" s="4" t="s">
        <v>187</v>
      </c>
      <c r="B69" s="4" t="s">
        <v>23</v>
      </c>
      <c r="C69" s="4" t="s">
        <v>57</v>
      </c>
      <c r="D69" s="4" t="s">
        <v>11</v>
      </c>
      <c r="E69" s="4" t="s">
        <v>188</v>
      </c>
      <c r="F69" s="7">
        <v>1296.4100000000001</v>
      </c>
      <c r="G69" s="4" t="s">
        <v>27</v>
      </c>
      <c r="H69" s="4" t="s">
        <v>91</v>
      </c>
    </row>
    <row r="70" spans="1:8">
      <c r="A70" s="4" t="s">
        <v>189</v>
      </c>
      <c r="B70" s="4" t="s">
        <v>23</v>
      </c>
      <c r="C70" s="4" t="s">
        <v>35</v>
      </c>
      <c r="D70" s="4" t="s">
        <v>11</v>
      </c>
      <c r="E70" s="4" t="s">
        <v>190</v>
      </c>
      <c r="F70" s="7">
        <v>3051.82</v>
      </c>
      <c r="G70" s="4" t="s">
        <v>27</v>
      </c>
      <c r="H70" s="4" t="s">
        <v>191</v>
      </c>
    </row>
    <row r="71" spans="1:8">
      <c r="A71" s="4" t="s">
        <v>192</v>
      </c>
      <c r="B71" s="4" t="s">
        <v>23</v>
      </c>
      <c r="C71" s="4" t="s">
        <v>24</v>
      </c>
      <c r="D71" s="4" t="s">
        <v>41</v>
      </c>
      <c r="E71" s="4" t="s">
        <v>193</v>
      </c>
      <c r="F71" s="7">
        <v>4091.11</v>
      </c>
      <c r="G71" s="4" t="s">
        <v>20</v>
      </c>
      <c r="H71" s="4" t="s">
        <v>194</v>
      </c>
    </row>
    <row r="72" spans="1:8">
      <c r="A72" s="4" t="s">
        <v>195</v>
      </c>
      <c r="B72" s="4" t="s">
        <v>56</v>
      </c>
      <c r="C72" s="4" t="s">
        <v>35</v>
      </c>
      <c r="D72" s="4" t="s">
        <v>31</v>
      </c>
      <c r="E72" s="4" t="s">
        <v>196</v>
      </c>
      <c r="F72" s="7">
        <v>2988.28</v>
      </c>
      <c r="G72" s="4" t="s">
        <v>13</v>
      </c>
      <c r="H72" s="4" t="s">
        <v>82</v>
      </c>
    </row>
    <row r="73" spans="1:8">
      <c r="A73" s="4" t="s">
        <v>195</v>
      </c>
      <c r="B73" s="4" t="s">
        <v>23</v>
      </c>
      <c r="C73" s="4" t="s">
        <v>24</v>
      </c>
      <c r="D73" s="4" t="s">
        <v>48</v>
      </c>
      <c r="E73" s="4" t="s">
        <v>197</v>
      </c>
      <c r="F73" s="7">
        <v>2709.45</v>
      </c>
      <c r="G73" s="4" t="s">
        <v>27</v>
      </c>
      <c r="H73" s="4" t="s">
        <v>172</v>
      </c>
    </row>
    <row r="74" spans="1:8">
      <c r="A74" s="4" t="s">
        <v>198</v>
      </c>
      <c r="B74" s="4" t="s">
        <v>9</v>
      </c>
      <c r="C74" s="4" t="s">
        <v>57</v>
      </c>
      <c r="D74" s="4" t="s">
        <v>18</v>
      </c>
      <c r="E74" s="4" t="s">
        <v>199</v>
      </c>
      <c r="F74" s="7">
        <v>907.81</v>
      </c>
      <c r="G74" s="4" t="s">
        <v>27</v>
      </c>
      <c r="H74" s="4" t="s">
        <v>200</v>
      </c>
    </row>
    <row r="75" spans="1:8">
      <c r="A75" s="4" t="s">
        <v>201</v>
      </c>
      <c r="B75" s="4" t="s">
        <v>9</v>
      </c>
      <c r="C75" s="4" t="s">
        <v>47</v>
      </c>
      <c r="D75" s="4" t="s">
        <v>41</v>
      </c>
      <c r="E75" s="4" t="s">
        <v>202</v>
      </c>
      <c r="F75" s="7">
        <v>3866.29</v>
      </c>
      <c r="G75" s="4" t="s">
        <v>27</v>
      </c>
      <c r="H75" s="4" t="s">
        <v>14</v>
      </c>
    </row>
    <row r="76" spans="1:8">
      <c r="A76" s="4" t="s">
        <v>203</v>
      </c>
      <c r="B76" s="4" t="s">
        <v>56</v>
      </c>
      <c r="C76" s="4" t="s">
        <v>10</v>
      </c>
      <c r="D76" s="4" t="s">
        <v>11</v>
      </c>
      <c r="E76" s="4" t="s">
        <v>104</v>
      </c>
      <c r="F76" s="7">
        <v>2434.25</v>
      </c>
      <c r="G76" s="4" t="s">
        <v>27</v>
      </c>
      <c r="H76" s="4" t="s">
        <v>74</v>
      </c>
    </row>
    <row r="77" spans="1:8">
      <c r="A77" s="4" t="s">
        <v>204</v>
      </c>
      <c r="B77" s="4" t="s">
        <v>23</v>
      </c>
      <c r="C77" s="4" t="s">
        <v>35</v>
      </c>
      <c r="D77" s="4" t="s">
        <v>31</v>
      </c>
      <c r="E77" s="4" t="s">
        <v>205</v>
      </c>
      <c r="F77" s="7">
        <v>2568.63</v>
      </c>
      <c r="G77" s="4" t="s">
        <v>13</v>
      </c>
      <c r="H77" s="4" t="s">
        <v>140</v>
      </c>
    </row>
    <row r="78" spans="1:8">
      <c r="A78" s="4" t="s">
        <v>206</v>
      </c>
      <c r="B78" s="4" t="s">
        <v>16</v>
      </c>
      <c r="C78" s="4" t="s">
        <v>57</v>
      </c>
      <c r="D78" s="4" t="s">
        <v>48</v>
      </c>
      <c r="E78" s="4" t="s">
        <v>207</v>
      </c>
      <c r="F78" s="7">
        <v>3718.55</v>
      </c>
      <c r="G78" s="4" t="s">
        <v>27</v>
      </c>
      <c r="H78" s="4" t="s">
        <v>69</v>
      </c>
    </row>
    <row r="79" spans="1:8">
      <c r="A79" s="4" t="s">
        <v>206</v>
      </c>
      <c r="B79" s="4" t="s">
        <v>23</v>
      </c>
      <c r="C79" s="4" t="s">
        <v>35</v>
      </c>
      <c r="D79" s="4" t="s">
        <v>41</v>
      </c>
      <c r="E79" s="4" t="s">
        <v>208</v>
      </c>
      <c r="F79" s="7">
        <v>1442.89</v>
      </c>
      <c r="G79" s="4" t="s">
        <v>27</v>
      </c>
      <c r="H79" s="4" t="s">
        <v>138</v>
      </c>
    </row>
    <row r="80" spans="1:8">
      <c r="A80" s="4" t="s">
        <v>209</v>
      </c>
      <c r="B80" s="4" t="s">
        <v>16</v>
      </c>
      <c r="C80" s="4" t="s">
        <v>24</v>
      </c>
      <c r="D80" s="4" t="s">
        <v>48</v>
      </c>
      <c r="E80" s="4" t="s">
        <v>210</v>
      </c>
      <c r="F80" s="7">
        <v>96.95</v>
      </c>
      <c r="G80" s="4" t="s">
        <v>27</v>
      </c>
      <c r="H80" s="4" t="s">
        <v>51</v>
      </c>
    </row>
    <row r="81" spans="1:8">
      <c r="A81" s="4" t="s">
        <v>211</v>
      </c>
      <c r="B81" s="4" t="s">
        <v>9</v>
      </c>
      <c r="C81" s="4" t="s">
        <v>24</v>
      </c>
      <c r="D81" s="4" t="s">
        <v>11</v>
      </c>
      <c r="E81" s="4" t="s">
        <v>212</v>
      </c>
      <c r="F81" s="7">
        <v>4754.54</v>
      </c>
      <c r="G81" s="4" t="s">
        <v>20</v>
      </c>
      <c r="H81" s="4" t="s">
        <v>102</v>
      </c>
    </row>
    <row r="82" spans="1:8">
      <c r="A82" s="4" t="s">
        <v>213</v>
      </c>
      <c r="B82" s="4" t="s">
        <v>9</v>
      </c>
      <c r="C82" s="4" t="s">
        <v>30</v>
      </c>
      <c r="D82" s="4" t="s">
        <v>48</v>
      </c>
      <c r="E82" s="4" t="s">
        <v>214</v>
      </c>
      <c r="F82" s="7">
        <v>438.36</v>
      </c>
      <c r="G82" s="4" t="s">
        <v>27</v>
      </c>
      <c r="H82" s="4" t="s">
        <v>150</v>
      </c>
    </row>
    <row r="83" spans="1:8">
      <c r="A83" s="4" t="s">
        <v>215</v>
      </c>
      <c r="B83" s="4" t="s">
        <v>9</v>
      </c>
      <c r="C83" s="4" t="s">
        <v>47</v>
      </c>
      <c r="D83" s="4" t="s">
        <v>31</v>
      </c>
      <c r="E83" s="4" t="s">
        <v>216</v>
      </c>
      <c r="F83" s="7">
        <v>4024.12</v>
      </c>
      <c r="G83" s="4" t="s">
        <v>27</v>
      </c>
      <c r="H83" s="4" t="s">
        <v>59</v>
      </c>
    </row>
    <row r="84" spans="1:8">
      <c r="A84" s="4" t="s">
        <v>217</v>
      </c>
      <c r="B84" s="4" t="s">
        <v>16</v>
      </c>
      <c r="C84" s="4" t="s">
        <v>24</v>
      </c>
      <c r="D84" s="4" t="s">
        <v>36</v>
      </c>
      <c r="E84" s="4" t="s">
        <v>218</v>
      </c>
      <c r="F84" s="7">
        <v>4095.25</v>
      </c>
      <c r="G84" s="4" t="s">
        <v>27</v>
      </c>
      <c r="H84" s="4" t="s">
        <v>51</v>
      </c>
    </row>
    <row r="85" spans="1:8">
      <c r="A85" s="4" t="s">
        <v>219</v>
      </c>
      <c r="B85" s="4" t="s">
        <v>40</v>
      </c>
      <c r="C85" s="4" t="s">
        <v>57</v>
      </c>
      <c r="D85" s="4" t="s">
        <v>31</v>
      </c>
      <c r="E85" s="4" t="s">
        <v>220</v>
      </c>
      <c r="F85" s="7">
        <v>3766.81</v>
      </c>
      <c r="G85" s="4" t="s">
        <v>13</v>
      </c>
      <c r="H85" s="4" t="s">
        <v>59</v>
      </c>
    </row>
    <row r="86" spans="1:8">
      <c r="A86" s="4" t="s">
        <v>221</v>
      </c>
      <c r="B86" s="4" t="s">
        <v>40</v>
      </c>
      <c r="C86" s="4" t="s">
        <v>17</v>
      </c>
      <c r="D86" s="4" t="s">
        <v>11</v>
      </c>
      <c r="E86" s="4" t="s">
        <v>222</v>
      </c>
      <c r="F86" s="7">
        <v>2345.31</v>
      </c>
      <c r="G86" s="4" t="s">
        <v>27</v>
      </c>
      <c r="H86" s="4" t="s">
        <v>157</v>
      </c>
    </row>
    <row r="87" spans="1:8">
      <c r="A87" s="4" t="s">
        <v>223</v>
      </c>
      <c r="B87" s="4" t="s">
        <v>9</v>
      </c>
      <c r="C87" s="4" t="s">
        <v>35</v>
      </c>
      <c r="D87" s="4" t="s">
        <v>18</v>
      </c>
      <c r="E87" s="4" t="s">
        <v>224</v>
      </c>
      <c r="F87" s="7">
        <v>758.48</v>
      </c>
      <c r="G87" s="4" t="s">
        <v>27</v>
      </c>
      <c r="H87" s="4" t="s">
        <v>62</v>
      </c>
    </row>
    <row r="88" spans="1:8">
      <c r="A88" s="4" t="s">
        <v>225</v>
      </c>
      <c r="B88" s="4" t="s">
        <v>40</v>
      </c>
      <c r="C88" s="4" t="s">
        <v>35</v>
      </c>
      <c r="D88" s="4" t="s">
        <v>18</v>
      </c>
      <c r="E88" s="4" t="s">
        <v>226</v>
      </c>
      <c r="F88" s="7">
        <v>4191</v>
      </c>
      <c r="G88" s="4" t="s">
        <v>27</v>
      </c>
      <c r="H88" s="4" t="s">
        <v>65</v>
      </c>
    </row>
    <row r="89" spans="1:8">
      <c r="A89" s="4" t="s">
        <v>227</v>
      </c>
      <c r="B89" s="4" t="s">
        <v>23</v>
      </c>
      <c r="C89" s="4" t="s">
        <v>57</v>
      </c>
      <c r="D89" s="4" t="s">
        <v>11</v>
      </c>
      <c r="E89" s="4" t="s">
        <v>228</v>
      </c>
      <c r="F89" s="7">
        <v>430.92</v>
      </c>
      <c r="G89" s="4" t="s">
        <v>13</v>
      </c>
      <c r="H89" s="4" t="s">
        <v>110</v>
      </c>
    </row>
    <row r="90" spans="1:8">
      <c r="A90" s="4" t="s">
        <v>229</v>
      </c>
      <c r="B90" s="4" t="s">
        <v>16</v>
      </c>
      <c r="C90" s="4" t="s">
        <v>47</v>
      </c>
      <c r="D90" s="4" t="s">
        <v>41</v>
      </c>
      <c r="E90" s="4" t="s">
        <v>230</v>
      </c>
      <c r="F90" s="7">
        <v>4117.8599999999997</v>
      </c>
      <c r="G90" s="4" t="s">
        <v>27</v>
      </c>
      <c r="H90" s="4" t="s">
        <v>28</v>
      </c>
    </row>
    <row r="91" spans="1:8">
      <c r="A91" s="4" t="s">
        <v>229</v>
      </c>
      <c r="B91" s="4" t="s">
        <v>23</v>
      </c>
      <c r="C91" s="4" t="s">
        <v>57</v>
      </c>
      <c r="D91" s="4" t="s">
        <v>11</v>
      </c>
      <c r="E91" s="4" t="s">
        <v>231</v>
      </c>
      <c r="F91" s="7">
        <v>2888.17</v>
      </c>
      <c r="G91" s="4" t="s">
        <v>27</v>
      </c>
      <c r="H91" s="4" t="s">
        <v>54</v>
      </c>
    </row>
    <row r="92" spans="1:8">
      <c r="A92" s="4" t="s">
        <v>232</v>
      </c>
      <c r="B92" s="4" t="s">
        <v>23</v>
      </c>
      <c r="C92" s="4" t="s">
        <v>17</v>
      </c>
      <c r="D92" s="4" t="s">
        <v>31</v>
      </c>
      <c r="E92" s="4" t="s">
        <v>233</v>
      </c>
      <c r="F92" s="7">
        <v>4228.8599999999997</v>
      </c>
      <c r="G92" s="4" t="s">
        <v>20</v>
      </c>
      <c r="H92" s="4" t="s">
        <v>234</v>
      </c>
    </row>
    <row r="93" spans="1:8">
      <c r="A93" s="4" t="s">
        <v>235</v>
      </c>
      <c r="B93" s="4" t="s">
        <v>56</v>
      </c>
      <c r="C93" s="4" t="s">
        <v>35</v>
      </c>
      <c r="D93" s="4" t="s">
        <v>11</v>
      </c>
      <c r="E93" s="4" t="s">
        <v>236</v>
      </c>
      <c r="F93" s="7">
        <v>2494.77</v>
      </c>
      <c r="G93" s="4" t="s">
        <v>27</v>
      </c>
      <c r="H93" s="4" t="s">
        <v>38</v>
      </c>
    </row>
    <row r="94" spans="1:8">
      <c r="A94" s="4" t="s">
        <v>237</v>
      </c>
      <c r="B94" s="4" t="s">
        <v>40</v>
      </c>
      <c r="C94" s="4" t="s">
        <v>35</v>
      </c>
      <c r="D94" s="4" t="s">
        <v>41</v>
      </c>
      <c r="E94" s="4" t="s">
        <v>238</v>
      </c>
      <c r="F94" s="7">
        <v>712.57</v>
      </c>
      <c r="G94" s="4" t="s">
        <v>27</v>
      </c>
      <c r="H94" s="4" t="s">
        <v>93</v>
      </c>
    </row>
    <row r="95" spans="1:8">
      <c r="A95" s="4" t="s">
        <v>237</v>
      </c>
      <c r="B95" s="4" t="s">
        <v>56</v>
      </c>
      <c r="C95" s="4" t="s">
        <v>57</v>
      </c>
      <c r="D95" s="4" t="s">
        <v>18</v>
      </c>
      <c r="E95" s="4" t="s">
        <v>239</v>
      </c>
      <c r="F95" s="7">
        <v>4243.3599999999997</v>
      </c>
      <c r="G95" s="4" t="s">
        <v>27</v>
      </c>
      <c r="H95" s="4" t="s">
        <v>240</v>
      </c>
    </row>
    <row r="96" spans="1:8">
      <c r="A96" s="4" t="s">
        <v>241</v>
      </c>
      <c r="B96" s="4" t="s">
        <v>40</v>
      </c>
      <c r="C96" s="4" t="s">
        <v>35</v>
      </c>
      <c r="D96" s="4" t="s">
        <v>31</v>
      </c>
      <c r="E96" s="4" t="s">
        <v>242</v>
      </c>
      <c r="F96" s="7">
        <v>2923.91</v>
      </c>
      <c r="G96" s="4" t="s">
        <v>13</v>
      </c>
      <c r="H96" s="4" t="s">
        <v>240</v>
      </c>
    </row>
    <row r="97" spans="1:8">
      <c r="A97" s="4" t="s">
        <v>243</v>
      </c>
      <c r="B97" s="4" t="s">
        <v>56</v>
      </c>
      <c r="C97" s="4" t="s">
        <v>30</v>
      </c>
      <c r="D97" s="4" t="s">
        <v>36</v>
      </c>
      <c r="E97" s="4" t="s">
        <v>244</v>
      </c>
      <c r="F97" s="7">
        <v>2715.09</v>
      </c>
      <c r="G97" s="4" t="s">
        <v>13</v>
      </c>
      <c r="H97" s="4" t="s">
        <v>145</v>
      </c>
    </row>
    <row r="98" spans="1:8">
      <c r="A98" s="4" t="s">
        <v>245</v>
      </c>
      <c r="B98" s="4" t="s">
        <v>40</v>
      </c>
      <c r="C98" s="4" t="s">
        <v>47</v>
      </c>
      <c r="D98" s="4" t="s">
        <v>18</v>
      </c>
      <c r="E98" s="4" t="s">
        <v>246</v>
      </c>
      <c r="F98" s="7">
        <v>3625.15</v>
      </c>
      <c r="G98" s="4" t="s">
        <v>13</v>
      </c>
      <c r="H98" s="4" t="s">
        <v>247</v>
      </c>
    </row>
    <row r="99" spans="1:8">
      <c r="A99" s="4" t="s">
        <v>248</v>
      </c>
      <c r="B99" s="4" t="s">
        <v>40</v>
      </c>
      <c r="C99" s="4" t="s">
        <v>10</v>
      </c>
      <c r="D99" s="4" t="s">
        <v>11</v>
      </c>
      <c r="E99" s="4" t="s">
        <v>249</v>
      </c>
      <c r="F99" s="7">
        <v>516.08000000000004</v>
      </c>
      <c r="G99" s="4" t="s">
        <v>27</v>
      </c>
      <c r="H99" s="4" t="s">
        <v>129</v>
      </c>
    </row>
    <row r="100" spans="1:8">
      <c r="A100" s="4" t="s">
        <v>250</v>
      </c>
      <c r="B100" s="4" t="s">
        <v>16</v>
      </c>
      <c r="C100" s="4" t="s">
        <v>10</v>
      </c>
      <c r="D100" s="4" t="s">
        <v>41</v>
      </c>
      <c r="E100" s="4" t="s">
        <v>251</v>
      </c>
      <c r="F100" s="7">
        <v>4795.2</v>
      </c>
      <c r="G100" s="4" t="s">
        <v>27</v>
      </c>
      <c r="H100" s="4" t="s">
        <v>252</v>
      </c>
    </row>
    <row r="101" spans="1:8">
      <c r="A101" s="4" t="s">
        <v>253</v>
      </c>
      <c r="B101" s="4" t="s">
        <v>9</v>
      </c>
      <c r="C101" s="4" t="s">
        <v>57</v>
      </c>
      <c r="D101" s="4" t="s">
        <v>25</v>
      </c>
      <c r="E101" s="4" t="s">
        <v>254</v>
      </c>
      <c r="F101" s="7">
        <v>2394.19</v>
      </c>
      <c r="G101" s="4" t="s">
        <v>27</v>
      </c>
      <c r="H101" s="4" t="s">
        <v>255</v>
      </c>
    </row>
    <row r="102" spans="1:8">
      <c r="A102" s="4" t="s">
        <v>253</v>
      </c>
      <c r="B102" s="4" t="s">
        <v>9</v>
      </c>
      <c r="C102" s="4" t="s">
        <v>30</v>
      </c>
      <c r="D102" s="4" t="s">
        <v>18</v>
      </c>
      <c r="E102" s="4" t="s">
        <v>256</v>
      </c>
      <c r="F102" s="7">
        <v>2841.63</v>
      </c>
      <c r="G102" s="4" t="s">
        <v>20</v>
      </c>
      <c r="H102" s="4" t="s">
        <v>140</v>
      </c>
    </row>
    <row r="103" spans="1:8">
      <c r="A103" s="4" t="s">
        <v>253</v>
      </c>
      <c r="B103" s="4" t="s">
        <v>23</v>
      </c>
      <c r="C103" s="4" t="s">
        <v>35</v>
      </c>
      <c r="D103" s="4" t="s">
        <v>48</v>
      </c>
      <c r="E103" s="4" t="s">
        <v>257</v>
      </c>
      <c r="F103" s="7">
        <v>682.06</v>
      </c>
      <c r="G103" s="4" t="s">
        <v>27</v>
      </c>
      <c r="H103" s="4" t="s">
        <v>112</v>
      </c>
    </row>
    <row r="104" spans="1:8">
      <c r="A104" s="4" t="s">
        <v>258</v>
      </c>
      <c r="B104" s="4" t="s">
        <v>40</v>
      </c>
      <c r="C104" s="4" t="s">
        <v>10</v>
      </c>
      <c r="D104" s="4" t="s">
        <v>48</v>
      </c>
      <c r="E104" s="4" t="s">
        <v>259</v>
      </c>
      <c r="F104" s="7">
        <v>2946.49</v>
      </c>
      <c r="G104" s="4" t="s">
        <v>13</v>
      </c>
      <c r="H104" s="4" t="s">
        <v>260</v>
      </c>
    </row>
    <row r="105" spans="1:8">
      <c r="A105" s="4" t="s">
        <v>261</v>
      </c>
      <c r="B105" s="4" t="s">
        <v>9</v>
      </c>
      <c r="C105" s="4" t="s">
        <v>17</v>
      </c>
      <c r="D105" s="4" t="s">
        <v>31</v>
      </c>
      <c r="E105" s="4" t="s">
        <v>262</v>
      </c>
      <c r="F105" s="7">
        <v>1144.99</v>
      </c>
      <c r="G105" s="4" t="s">
        <v>20</v>
      </c>
      <c r="H105" s="4" t="s">
        <v>263</v>
      </c>
    </row>
    <row r="106" spans="1:8">
      <c r="A106" s="4" t="s">
        <v>264</v>
      </c>
      <c r="B106" s="4" t="s">
        <v>9</v>
      </c>
      <c r="C106" s="4" t="s">
        <v>35</v>
      </c>
      <c r="D106" s="4" t="s">
        <v>31</v>
      </c>
      <c r="E106" s="4" t="s">
        <v>265</v>
      </c>
      <c r="F106" s="7">
        <v>3457.59</v>
      </c>
      <c r="G106" s="4" t="s">
        <v>27</v>
      </c>
      <c r="H106" s="4" t="s">
        <v>74</v>
      </c>
    </row>
    <row r="107" spans="1:8">
      <c r="A107" s="4" t="s">
        <v>264</v>
      </c>
      <c r="B107" s="4" t="s">
        <v>9</v>
      </c>
      <c r="C107" s="4" t="s">
        <v>47</v>
      </c>
      <c r="D107" s="4" t="s">
        <v>11</v>
      </c>
      <c r="E107" s="4" t="s">
        <v>266</v>
      </c>
      <c r="F107" s="7">
        <v>1391.24</v>
      </c>
      <c r="G107" s="4" t="s">
        <v>27</v>
      </c>
      <c r="H107" s="4" t="s">
        <v>186</v>
      </c>
    </row>
    <row r="108" spans="1:8">
      <c r="A108" s="4" t="s">
        <v>267</v>
      </c>
      <c r="B108" s="4" t="s">
        <v>23</v>
      </c>
      <c r="C108" s="4" t="s">
        <v>10</v>
      </c>
      <c r="D108" s="4" t="s">
        <v>36</v>
      </c>
      <c r="E108" s="4" t="s">
        <v>268</v>
      </c>
      <c r="F108" s="7">
        <v>951.43</v>
      </c>
      <c r="G108" s="4" t="s">
        <v>27</v>
      </c>
      <c r="H108" s="4" t="s">
        <v>80</v>
      </c>
    </row>
    <row r="109" spans="1:8">
      <c r="A109" s="4" t="s">
        <v>269</v>
      </c>
      <c r="B109" s="4" t="s">
        <v>16</v>
      </c>
      <c r="C109" s="4" t="s">
        <v>17</v>
      </c>
      <c r="D109" s="4" t="s">
        <v>18</v>
      </c>
      <c r="E109" s="4" t="s">
        <v>270</v>
      </c>
      <c r="F109" s="7">
        <v>2197.5700000000002</v>
      </c>
      <c r="G109" s="4" t="s">
        <v>27</v>
      </c>
      <c r="H109" s="4" t="s">
        <v>260</v>
      </c>
    </row>
    <row r="110" spans="1:8">
      <c r="A110" s="4" t="s">
        <v>271</v>
      </c>
      <c r="B110" s="4" t="s">
        <v>56</v>
      </c>
      <c r="C110" s="4" t="s">
        <v>24</v>
      </c>
      <c r="D110" s="4" t="s">
        <v>41</v>
      </c>
      <c r="E110" s="4" t="s">
        <v>272</v>
      </c>
      <c r="F110" s="7">
        <v>462.26</v>
      </c>
      <c r="G110" s="4" t="s">
        <v>27</v>
      </c>
      <c r="H110" s="4" t="s">
        <v>102</v>
      </c>
    </row>
    <row r="111" spans="1:8">
      <c r="A111" s="4" t="s">
        <v>271</v>
      </c>
      <c r="B111" s="4" t="s">
        <v>40</v>
      </c>
      <c r="C111" s="4" t="s">
        <v>47</v>
      </c>
      <c r="D111" s="4" t="s">
        <v>11</v>
      </c>
      <c r="E111" s="4" t="s">
        <v>273</v>
      </c>
      <c r="F111" s="7">
        <v>1006.01</v>
      </c>
      <c r="G111" s="4" t="s">
        <v>27</v>
      </c>
      <c r="H111" s="4" t="s">
        <v>100</v>
      </c>
    </row>
    <row r="112" spans="1:8">
      <c r="A112" s="4" t="s">
        <v>274</v>
      </c>
      <c r="B112" s="4" t="s">
        <v>16</v>
      </c>
      <c r="C112" s="4" t="s">
        <v>17</v>
      </c>
      <c r="D112" s="4" t="s">
        <v>11</v>
      </c>
      <c r="E112" s="4" t="s">
        <v>275</v>
      </c>
      <c r="F112" s="7">
        <v>1048.51</v>
      </c>
      <c r="G112" s="4" t="s">
        <v>20</v>
      </c>
      <c r="H112" s="4" t="s">
        <v>51</v>
      </c>
    </row>
    <row r="113" spans="1:8">
      <c r="A113" s="4" t="s">
        <v>276</v>
      </c>
      <c r="B113" s="4" t="s">
        <v>9</v>
      </c>
      <c r="C113" s="4" t="s">
        <v>47</v>
      </c>
      <c r="D113" s="4" t="s">
        <v>41</v>
      </c>
      <c r="E113" s="4" t="s">
        <v>277</v>
      </c>
      <c r="F113" s="7">
        <v>2336.62</v>
      </c>
      <c r="G113" s="4" t="s">
        <v>20</v>
      </c>
      <c r="H113" s="4" t="s">
        <v>145</v>
      </c>
    </row>
    <row r="114" spans="1:8">
      <c r="A114" s="4" t="s">
        <v>278</v>
      </c>
      <c r="B114" s="4" t="s">
        <v>23</v>
      </c>
      <c r="C114" s="4" t="s">
        <v>24</v>
      </c>
      <c r="D114" s="4" t="s">
        <v>18</v>
      </c>
      <c r="E114" s="4" t="s">
        <v>279</v>
      </c>
      <c r="F114" s="7">
        <v>151.88999999999999</v>
      </c>
      <c r="G114" s="4" t="s">
        <v>20</v>
      </c>
      <c r="H114" s="4" t="s">
        <v>280</v>
      </c>
    </row>
    <row r="115" spans="1:8">
      <c r="A115" s="4" t="s">
        <v>281</v>
      </c>
      <c r="B115" s="4" t="s">
        <v>23</v>
      </c>
      <c r="C115" s="4" t="s">
        <v>24</v>
      </c>
      <c r="D115" s="4" t="s">
        <v>25</v>
      </c>
      <c r="E115" s="4" t="s">
        <v>282</v>
      </c>
      <c r="F115" s="7">
        <v>1157.9000000000001</v>
      </c>
      <c r="G115" s="4" t="s">
        <v>27</v>
      </c>
      <c r="H115" s="4" t="s">
        <v>14</v>
      </c>
    </row>
    <row r="116" spans="1:8">
      <c r="A116" s="4" t="s">
        <v>283</v>
      </c>
      <c r="B116" s="4" t="s">
        <v>40</v>
      </c>
      <c r="C116" s="4" t="s">
        <v>10</v>
      </c>
      <c r="D116" s="4" t="s">
        <v>41</v>
      </c>
      <c r="E116" s="4" t="s">
        <v>284</v>
      </c>
      <c r="F116" s="7">
        <v>1317.28</v>
      </c>
      <c r="G116" s="4" t="s">
        <v>13</v>
      </c>
      <c r="H116" s="4" t="s">
        <v>54</v>
      </c>
    </row>
    <row r="117" spans="1:8">
      <c r="A117" s="4" t="s">
        <v>285</v>
      </c>
      <c r="B117" s="4" t="s">
        <v>23</v>
      </c>
      <c r="C117" s="4" t="s">
        <v>24</v>
      </c>
      <c r="D117" s="4" t="s">
        <v>41</v>
      </c>
      <c r="E117" s="4" t="s">
        <v>286</v>
      </c>
      <c r="F117" s="7">
        <v>757.81</v>
      </c>
      <c r="G117" s="4" t="s">
        <v>13</v>
      </c>
      <c r="H117" s="4" t="s">
        <v>280</v>
      </c>
    </row>
    <row r="118" spans="1:8">
      <c r="A118" s="4" t="s">
        <v>287</v>
      </c>
      <c r="B118" s="4" t="s">
        <v>40</v>
      </c>
      <c r="C118" s="4" t="s">
        <v>47</v>
      </c>
      <c r="D118" s="4" t="s">
        <v>25</v>
      </c>
      <c r="E118" s="4" t="s">
        <v>288</v>
      </c>
      <c r="F118" s="7">
        <v>3455.03</v>
      </c>
      <c r="G118" s="4" t="s">
        <v>27</v>
      </c>
      <c r="H118" s="4" t="s">
        <v>100</v>
      </c>
    </row>
    <row r="119" spans="1:8">
      <c r="A119" s="4" t="s">
        <v>287</v>
      </c>
      <c r="B119" s="4" t="s">
        <v>23</v>
      </c>
      <c r="C119" s="4" t="s">
        <v>35</v>
      </c>
      <c r="D119" s="4" t="s">
        <v>31</v>
      </c>
      <c r="E119" s="4" t="s">
        <v>289</v>
      </c>
      <c r="F119" s="7">
        <v>2426.23</v>
      </c>
      <c r="G119" s="4" t="s">
        <v>27</v>
      </c>
      <c r="H119" s="4" t="s">
        <v>115</v>
      </c>
    </row>
    <row r="120" spans="1:8">
      <c r="A120" s="4" t="s">
        <v>290</v>
      </c>
      <c r="B120" s="4" t="s">
        <v>16</v>
      </c>
      <c r="C120" s="4" t="s">
        <v>57</v>
      </c>
      <c r="D120" s="4" t="s">
        <v>11</v>
      </c>
      <c r="E120" s="4" t="s">
        <v>291</v>
      </c>
      <c r="F120" s="7">
        <v>76.239999999999995</v>
      </c>
      <c r="G120" s="4" t="s">
        <v>20</v>
      </c>
      <c r="H120" s="4" t="s">
        <v>194</v>
      </c>
    </row>
    <row r="121" spans="1:8">
      <c r="A121" s="4" t="s">
        <v>290</v>
      </c>
      <c r="B121" s="4" t="s">
        <v>56</v>
      </c>
      <c r="C121" s="4" t="s">
        <v>30</v>
      </c>
      <c r="D121" s="4" t="s">
        <v>48</v>
      </c>
      <c r="E121" s="4" t="s">
        <v>292</v>
      </c>
      <c r="F121" s="7">
        <v>2636.05</v>
      </c>
      <c r="G121" s="4" t="s">
        <v>13</v>
      </c>
      <c r="H121" s="4" t="s">
        <v>77</v>
      </c>
    </row>
    <row r="122" spans="1:8">
      <c r="A122" s="4" t="s">
        <v>293</v>
      </c>
      <c r="B122" s="4" t="s">
        <v>9</v>
      </c>
      <c r="C122" s="4" t="s">
        <v>35</v>
      </c>
      <c r="D122" s="4" t="s">
        <v>48</v>
      </c>
      <c r="E122" s="4" t="s">
        <v>294</v>
      </c>
      <c r="F122" s="7">
        <v>2678.13</v>
      </c>
      <c r="G122" s="4" t="s">
        <v>27</v>
      </c>
      <c r="H122" s="4" t="s">
        <v>93</v>
      </c>
    </row>
    <row r="123" spans="1:8">
      <c r="A123" s="4" t="s">
        <v>295</v>
      </c>
      <c r="B123" s="4" t="s">
        <v>40</v>
      </c>
      <c r="C123" s="4" t="s">
        <v>57</v>
      </c>
      <c r="D123" s="4" t="s">
        <v>48</v>
      </c>
      <c r="E123" s="4" t="s">
        <v>296</v>
      </c>
      <c r="F123" s="7">
        <v>4874.01</v>
      </c>
      <c r="G123" s="4" t="s">
        <v>13</v>
      </c>
      <c r="H123" s="4" t="s">
        <v>80</v>
      </c>
    </row>
    <row r="124" spans="1:8">
      <c r="A124" s="4" t="s">
        <v>297</v>
      </c>
      <c r="B124" s="4" t="s">
        <v>9</v>
      </c>
      <c r="C124" s="4" t="s">
        <v>35</v>
      </c>
      <c r="D124" s="4" t="s">
        <v>18</v>
      </c>
      <c r="E124" s="4" t="s">
        <v>298</v>
      </c>
      <c r="F124" s="7">
        <v>1858.52</v>
      </c>
      <c r="G124" s="4" t="s">
        <v>27</v>
      </c>
      <c r="H124" s="4" t="s">
        <v>194</v>
      </c>
    </row>
    <row r="125" spans="1:8">
      <c r="A125" s="4" t="s">
        <v>299</v>
      </c>
      <c r="B125" s="4" t="s">
        <v>16</v>
      </c>
      <c r="C125" s="4" t="s">
        <v>35</v>
      </c>
      <c r="D125" s="4" t="s">
        <v>11</v>
      </c>
      <c r="E125" s="4" t="s">
        <v>300</v>
      </c>
      <c r="F125" s="7">
        <v>4257.6899999999996</v>
      </c>
      <c r="G125" s="4" t="s">
        <v>27</v>
      </c>
      <c r="H125" s="4" t="s">
        <v>301</v>
      </c>
    </row>
    <row r="126" spans="1:8">
      <c r="A126" s="4" t="s">
        <v>299</v>
      </c>
      <c r="B126" s="4" t="s">
        <v>9</v>
      </c>
      <c r="C126" s="4" t="s">
        <v>35</v>
      </c>
      <c r="D126" s="4" t="s">
        <v>31</v>
      </c>
      <c r="E126" s="4" t="s">
        <v>302</v>
      </c>
      <c r="F126" s="7">
        <v>2164.1799999999998</v>
      </c>
      <c r="G126" s="4" t="s">
        <v>20</v>
      </c>
      <c r="H126" s="4" t="s">
        <v>59</v>
      </c>
    </row>
    <row r="127" spans="1:8">
      <c r="A127" s="4" t="s">
        <v>303</v>
      </c>
      <c r="B127" s="4" t="s">
        <v>23</v>
      </c>
      <c r="C127" s="4" t="s">
        <v>10</v>
      </c>
      <c r="D127" s="4" t="s">
        <v>41</v>
      </c>
      <c r="E127" s="4" t="s">
        <v>304</v>
      </c>
      <c r="F127" s="7">
        <v>3335.17</v>
      </c>
      <c r="G127" s="4" t="s">
        <v>20</v>
      </c>
      <c r="H127" s="4" t="s">
        <v>129</v>
      </c>
    </row>
    <row r="128" spans="1:8">
      <c r="A128" s="4" t="s">
        <v>305</v>
      </c>
      <c r="B128" s="4" t="s">
        <v>23</v>
      </c>
      <c r="C128" s="4" t="s">
        <v>24</v>
      </c>
      <c r="D128" s="4" t="s">
        <v>48</v>
      </c>
      <c r="E128" s="4" t="s">
        <v>306</v>
      </c>
      <c r="F128" s="7">
        <v>4441.08</v>
      </c>
      <c r="G128" s="4" t="s">
        <v>13</v>
      </c>
      <c r="H128" s="4" t="s">
        <v>45</v>
      </c>
    </row>
    <row r="129" spans="1:8">
      <c r="A129" s="4" t="s">
        <v>305</v>
      </c>
      <c r="B129" s="4" t="s">
        <v>40</v>
      </c>
      <c r="C129" s="4" t="s">
        <v>17</v>
      </c>
      <c r="D129" s="4" t="s">
        <v>36</v>
      </c>
      <c r="E129" s="4" t="s">
        <v>307</v>
      </c>
      <c r="F129" s="7">
        <v>2708.68</v>
      </c>
      <c r="G129" s="4" t="s">
        <v>27</v>
      </c>
      <c r="H129" s="4" t="s">
        <v>38</v>
      </c>
    </row>
    <row r="130" spans="1:8">
      <c r="A130" s="4" t="s">
        <v>308</v>
      </c>
      <c r="B130" s="4" t="s">
        <v>16</v>
      </c>
      <c r="C130" s="4" t="s">
        <v>24</v>
      </c>
      <c r="D130" s="4" t="s">
        <v>36</v>
      </c>
      <c r="E130" s="4" t="s">
        <v>309</v>
      </c>
      <c r="F130" s="7">
        <v>4161.74</v>
      </c>
      <c r="G130" s="4" t="s">
        <v>27</v>
      </c>
      <c r="H130" s="4" t="s">
        <v>194</v>
      </c>
    </row>
    <row r="131" spans="1:8">
      <c r="A131" s="4" t="s">
        <v>310</v>
      </c>
      <c r="B131" s="4" t="s">
        <v>23</v>
      </c>
      <c r="C131" s="4" t="s">
        <v>17</v>
      </c>
      <c r="D131" s="4" t="s">
        <v>31</v>
      </c>
      <c r="E131" s="4" t="s">
        <v>311</v>
      </c>
      <c r="F131" s="7">
        <v>3247.29</v>
      </c>
      <c r="G131" s="4" t="s">
        <v>27</v>
      </c>
      <c r="H131" s="4" t="s">
        <v>263</v>
      </c>
    </row>
    <row r="132" spans="1:8">
      <c r="A132" s="4" t="s">
        <v>312</v>
      </c>
      <c r="B132" s="4" t="s">
        <v>40</v>
      </c>
      <c r="C132" s="4" t="s">
        <v>24</v>
      </c>
      <c r="D132" s="4" t="s">
        <v>25</v>
      </c>
      <c r="E132" s="4" t="s">
        <v>313</v>
      </c>
      <c r="F132" s="7">
        <v>3174.14</v>
      </c>
      <c r="G132" s="4" t="s">
        <v>13</v>
      </c>
      <c r="H132" s="4" t="s">
        <v>194</v>
      </c>
    </row>
    <row r="133" spans="1:8">
      <c r="A133" s="4" t="s">
        <v>314</v>
      </c>
      <c r="B133" s="4" t="s">
        <v>9</v>
      </c>
      <c r="C133" s="4" t="s">
        <v>24</v>
      </c>
      <c r="D133" s="4" t="s">
        <v>18</v>
      </c>
      <c r="E133" s="4" t="s">
        <v>315</v>
      </c>
      <c r="F133" s="7">
        <v>1935.41</v>
      </c>
      <c r="G133" s="4" t="s">
        <v>20</v>
      </c>
      <c r="H133" s="4" t="s">
        <v>100</v>
      </c>
    </row>
    <row r="134" spans="1:8">
      <c r="A134" s="4" t="s">
        <v>314</v>
      </c>
      <c r="B134" s="4" t="s">
        <v>23</v>
      </c>
      <c r="C134" s="4" t="s">
        <v>30</v>
      </c>
      <c r="D134" s="4" t="s">
        <v>18</v>
      </c>
      <c r="E134" s="4" t="s">
        <v>316</v>
      </c>
      <c r="F134" s="7">
        <v>1420.54</v>
      </c>
      <c r="G134" s="4" t="s">
        <v>20</v>
      </c>
      <c r="H134" s="4" t="s">
        <v>51</v>
      </c>
    </row>
    <row r="135" spans="1:8">
      <c r="A135" s="4" t="s">
        <v>317</v>
      </c>
      <c r="B135" s="4" t="s">
        <v>16</v>
      </c>
      <c r="C135" s="4" t="s">
        <v>24</v>
      </c>
      <c r="D135" s="4" t="s">
        <v>25</v>
      </c>
      <c r="E135" s="4" t="s">
        <v>318</v>
      </c>
      <c r="F135" s="7">
        <v>3167.4</v>
      </c>
      <c r="G135" s="4" t="s">
        <v>27</v>
      </c>
      <c r="H135" s="4" t="s">
        <v>14</v>
      </c>
    </row>
    <row r="136" spans="1:8">
      <c r="A136" s="4" t="s">
        <v>319</v>
      </c>
      <c r="B136" s="4" t="s">
        <v>23</v>
      </c>
      <c r="C136" s="4" t="s">
        <v>47</v>
      </c>
      <c r="D136" s="4" t="s">
        <v>18</v>
      </c>
      <c r="E136" s="4" t="s">
        <v>320</v>
      </c>
      <c r="F136" s="7">
        <v>1913.49</v>
      </c>
      <c r="G136" s="4" t="s">
        <v>20</v>
      </c>
      <c r="H136" s="4" t="s">
        <v>112</v>
      </c>
    </row>
    <row r="137" spans="1:8">
      <c r="A137" s="4" t="s">
        <v>321</v>
      </c>
      <c r="B137" s="4" t="s">
        <v>40</v>
      </c>
      <c r="C137" s="4" t="s">
        <v>57</v>
      </c>
      <c r="D137" s="4" t="s">
        <v>41</v>
      </c>
      <c r="E137" s="4" t="s">
        <v>322</v>
      </c>
      <c r="F137" s="7">
        <v>125.76</v>
      </c>
      <c r="G137" s="4" t="s">
        <v>20</v>
      </c>
      <c r="H137" s="4" t="s">
        <v>112</v>
      </c>
    </row>
    <row r="138" spans="1:8">
      <c r="A138" s="4" t="s">
        <v>323</v>
      </c>
      <c r="B138" s="4" t="s">
        <v>56</v>
      </c>
      <c r="C138" s="4" t="s">
        <v>30</v>
      </c>
      <c r="D138" s="4" t="s">
        <v>48</v>
      </c>
      <c r="E138" s="4" t="s">
        <v>324</v>
      </c>
      <c r="F138" s="7">
        <v>1248.69</v>
      </c>
      <c r="G138" s="4" t="s">
        <v>20</v>
      </c>
      <c r="H138" s="4" t="s">
        <v>129</v>
      </c>
    </row>
    <row r="139" spans="1:8">
      <c r="A139" s="4" t="s">
        <v>325</v>
      </c>
      <c r="B139" s="4" t="s">
        <v>23</v>
      </c>
      <c r="C139" s="4" t="s">
        <v>57</v>
      </c>
      <c r="D139" s="4" t="s">
        <v>48</v>
      </c>
      <c r="E139" s="4" t="s">
        <v>326</v>
      </c>
      <c r="F139" s="7">
        <v>4057.03</v>
      </c>
      <c r="G139" s="4" t="s">
        <v>27</v>
      </c>
      <c r="H139" s="4" t="s">
        <v>327</v>
      </c>
    </row>
    <row r="140" spans="1:8">
      <c r="A140" s="4" t="s">
        <v>328</v>
      </c>
      <c r="B140" s="4" t="s">
        <v>40</v>
      </c>
      <c r="C140" s="4" t="s">
        <v>17</v>
      </c>
      <c r="D140" s="4" t="s">
        <v>31</v>
      </c>
      <c r="E140" s="4" t="s">
        <v>329</v>
      </c>
      <c r="F140" s="7">
        <v>3545.9</v>
      </c>
      <c r="G140" s="4" t="s">
        <v>27</v>
      </c>
      <c r="H140" s="4" t="s">
        <v>115</v>
      </c>
    </row>
    <row r="141" spans="1:8">
      <c r="A141" s="4" t="s">
        <v>328</v>
      </c>
      <c r="B141" s="4" t="s">
        <v>16</v>
      </c>
      <c r="C141" s="4" t="s">
        <v>24</v>
      </c>
      <c r="D141" s="4" t="s">
        <v>18</v>
      </c>
      <c r="E141" s="4" t="s">
        <v>330</v>
      </c>
      <c r="F141" s="7">
        <v>4599.92</v>
      </c>
      <c r="G141" s="4" t="s">
        <v>27</v>
      </c>
      <c r="H141" s="4" t="s">
        <v>194</v>
      </c>
    </row>
    <row r="142" spans="1:8">
      <c r="A142" s="4" t="s">
        <v>331</v>
      </c>
      <c r="B142" s="4" t="s">
        <v>16</v>
      </c>
      <c r="C142" s="4" t="s">
        <v>10</v>
      </c>
      <c r="D142" s="4" t="s">
        <v>25</v>
      </c>
      <c r="E142" s="4" t="s">
        <v>332</v>
      </c>
      <c r="F142" s="7">
        <v>2336.9299999999998</v>
      </c>
      <c r="G142" s="4" t="s">
        <v>20</v>
      </c>
      <c r="H142" s="4" t="s">
        <v>102</v>
      </c>
    </row>
    <row r="143" spans="1:8">
      <c r="A143" s="4" t="s">
        <v>333</v>
      </c>
      <c r="B143" s="4" t="s">
        <v>40</v>
      </c>
      <c r="C143" s="4" t="s">
        <v>47</v>
      </c>
      <c r="D143" s="4" t="s">
        <v>11</v>
      </c>
      <c r="E143" s="4" t="s">
        <v>334</v>
      </c>
      <c r="F143" s="7">
        <v>4722.26</v>
      </c>
      <c r="G143" s="4" t="s">
        <v>20</v>
      </c>
      <c r="H143" s="4" t="s">
        <v>240</v>
      </c>
    </row>
    <row r="144" spans="1:8">
      <c r="A144" s="4" t="s">
        <v>335</v>
      </c>
      <c r="B144" s="4" t="s">
        <v>23</v>
      </c>
      <c r="C144" s="4" t="s">
        <v>35</v>
      </c>
      <c r="D144" s="4" t="s">
        <v>25</v>
      </c>
      <c r="E144" s="4" t="s">
        <v>336</v>
      </c>
      <c r="F144" s="7">
        <v>3477.56</v>
      </c>
      <c r="G144" s="4" t="s">
        <v>27</v>
      </c>
      <c r="H144" s="4" t="s">
        <v>45</v>
      </c>
    </row>
    <row r="145" spans="1:8">
      <c r="A145" s="4" t="s">
        <v>337</v>
      </c>
      <c r="B145" s="4" t="s">
        <v>9</v>
      </c>
      <c r="C145" s="4" t="s">
        <v>35</v>
      </c>
      <c r="D145" s="4" t="s">
        <v>41</v>
      </c>
      <c r="E145" s="4" t="s">
        <v>338</v>
      </c>
      <c r="F145" s="7">
        <v>1379.93</v>
      </c>
      <c r="G145" s="4" t="s">
        <v>27</v>
      </c>
      <c r="H145" s="4" t="s">
        <v>200</v>
      </c>
    </row>
    <row r="146" spans="1:8">
      <c r="A146" s="4" t="s">
        <v>337</v>
      </c>
      <c r="B146" s="4" t="s">
        <v>40</v>
      </c>
      <c r="C146" s="4" t="s">
        <v>30</v>
      </c>
      <c r="D146" s="4" t="s">
        <v>41</v>
      </c>
      <c r="E146" s="4" t="s">
        <v>339</v>
      </c>
      <c r="F146" s="7">
        <v>2276.2800000000002</v>
      </c>
      <c r="G146" s="4" t="s">
        <v>27</v>
      </c>
      <c r="H146" s="4" t="s">
        <v>252</v>
      </c>
    </row>
    <row r="147" spans="1:8">
      <c r="A147" s="4" t="s">
        <v>340</v>
      </c>
      <c r="B147" s="4" t="s">
        <v>40</v>
      </c>
      <c r="C147" s="4" t="s">
        <v>57</v>
      </c>
      <c r="D147" s="4" t="s">
        <v>11</v>
      </c>
      <c r="E147" s="4" t="s">
        <v>341</v>
      </c>
      <c r="F147" s="7">
        <v>2313.46</v>
      </c>
      <c r="G147" s="4" t="s">
        <v>20</v>
      </c>
      <c r="H147" s="4" t="s">
        <v>112</v>
      </c>
    </row>
    <row r="148" spans="1:8">
      <c r="A148" s="4" t="s">
        <v>342</v>
      </c>
      <c r="B148" s="4" t="s">
        <v>56</v>
      </c>
      <c r="C148" s="4" t="s">
        <v>35</v>
      </c>
      <c r="D148" s="4" t="s">
        <v>25</v>
      </c>
      <c r="E148" s="4" t="s">
        <v>343</v>
      </c>
      <c r="F148" s="7">
        <v>4230.4399999999996</v>
      </c>
      <c r="G148" s="4" t="s">
        <v>13</v>
      </c>
      <c r="H148" s="4" t="s">
        <v>107</v>
      </c>
    </row>
    <row r="149" spans="1:8">
      <c r="A149" s="4" t="s">
        <v>344</v>
      </c>
      <c r="B149" s="4" t="s">
        <v>23</v>
      </c>
      <c r="C149" s="4" t="s">
        <v>57</v>
      </c>
      <c r="D149" s="4" t="s">
        <v>36</v>
      </c>
      <c r="E149" s="4" t="s">
        <v>345</v>
      </c>
      <c r="F149" s="7">
        <v>2982.45</v>
      </c>
      <c r="G149" s="4" t="s">
        <v>27</v>
      </c>
      <c r="H149" s="4" t="s">
        <v>327</v>
      </c>
    </row>
    <row r="150" spans="1:8">
      <c r="A150" s="4" t="s">
        <v>346</v>
      </c>
      <c r="B150" s="4" t="s">
        <v>9</v>
      </c>
      <c r="C150" s="4" t="s">
        <v>35</v>
      </c>
      <c r="D150" s="4" t="s">
        <v>48</v>
      </c>
      <c r="E150" s="4" t="s">
        <v>347</v>
      </c>
      <c r="F150" s="7">
        <v>2786.46</v>
      </c>
      <c r="G150" s="4" t="s">
        <v>27</v>
      </c>
      <c r="H150" s="4" t="s">
        <v>348</v>
      </c>
    </row>
    <row r="151" spans="1:8">
      <c r="A151" s="4" t="s">
        <v>349</v>
      </c>
      <c r="B151" s="4" t="s">
        <v>56</v>
      </c>
      <c r="C151" s="4" t="s">
        <v>35</v>
      </c>
      <c r="D151" s="4" t="s">
        <v>11</v>
      </c>
      <c r="E151" s="4" t="s">
        <v>350</v>
      </c>
      <c r="F151" s="7">
        <v>2672.71</v>
      </c>
      <c r="G151" s="4" t="s">
        <v>13</v>
      </c>
      <c r="H151" s="4" t="s">
        <v>77</v>
      </c>
    </row>
    <row r="152" spans="1:8">
      <c r="A152" s="4" t="s">
        <v>351</v>
      </c>
      <c r="B152" s="4" t="s">
        <v>40</v>
      </c>
      <c r="C152" s="4" t="s">
        <v>30</v>
      </c>
      <c r="D152" s="4" t="s">
        <v>48</v>
      </c>
      <c r="E152" s="4" t="s">
        <v>352</v>
      </c>
      <c r="F152" s="7">
        <v>2851.88</v>
      </c>
      <c r="G152" s="4" t="s">
        <v>27</v>
      </c>
      <c r="H152" s="4" t="s">
        <v>140</v>
      </c>
    </row>
    <row r="153" spans="1:8">
      <c r="A153" s="4" t="s">
        <v>353</v>
      </c>
      <c r="B153" s="4" t="s">
        <v>16</v>
      </c>
      <c r="C153" s="4" t="s">
        <v>30</v>
      </c>
      <c r="D153" s="4" t="s">
        <v>25</v>
      </c>
      <c r="E153" s="4" t="s">
        <v>354</v>
      </c>
      <c r="F153" s="7">
        <v>743.42</v>
      </c>
      <c r="G153" s="4" t="s">
        <v>27</v>
      </c>
      <c r="H153" s="4" t="s">
        <v>62</v>
      </c>
    </row>
    <row r="154" spans="1:8">
      <c r="A154" s="4" t="s">
        <v>355</v>
      </c>
      <c r="B154" s="4" t="s">
        <v>40</v>
      </c>
      <c r="C154" s="4" t="s">
        <v>47</v>
      </c>
      <c r="D154" s="4" t="s">
        <v>48</v>
      </c>
      <c r="E154" s="4" t="s">
        <v>356</v>
      </c>
      <c r="F154" s="7">
        <v>2214.11</v>
      </c>
      <c r="G154" s="4" t="s">
        <v>20</v>
      </c>
      <c r="H154" s="4" t="s">
        <v>74</v>
      </c>
    </row>
    <row r="155" spans="1:8">
      <c r="A155" s="4" t="s">
        <v>357</v>
      </c>
      <c r="B155" s="4" t="s">
        <v>56</v>
      </c>
      <c r="C155" s="4" t="s">
        <v>57</v>
      </c>
      <c r="D155" s="4" t="s">
        <v>11</v>
      </c>
      <c r="E155" s="4" t="s">
        <v>358</v>
      </c>
      <c r="F155" s="7">
        <v>1655.51</v>
      </c>
      <c r="G155" s="4" t="s">
        <v>27</v>
      </c>
      <c r="H155" s="4" t="s">
        <v>191</v>
      </c>
    </row>
    <row r="156" spans="1:8">
      <c r="A156" s="4" t="s">
        <v>359</v>
      </c>
      <c r="B156" s="4" t="s">
        <v>9</v>
      </c>
      <c r="C156" s="4" t="s">
        <v>35</v>
      </c>
      <c r="D156" s="4" t="s">
        <v>25</v>
      </c>
      <c r="E156" s="4" t="s">
        <v>360</v>
      </c>
      <c r="F156" s="7">
        <v>4140.96</v>
      </c>
      <c r="G156" s="4" t="s">
        <v>27</v>
      </c>
      <c r="H156" s="4" t="s">
        <v>33</v>
      </c>
    </row>
    <row r="157" spans="1:8">
      <c r="A157" s="4" t="s">
        <v>361</v>
      </c>
      <c r="B157" s="4" t="s">
        <v>23</v>
      </c>
      <c r="C157" s="4" t="s">
        <v>35</v>
      </c>
      <c r="D157" s="4" t="s">
        <v>41</v>
      </c>
      <c r="E157" s="4" t="s">
        <v>362</v>
      </c>
      <c r="F157" s="7">
        <v>4910.1099999999997</v>
      </c>
      <c r="G157" s="4" t="s">
        <v>20</v>
      </c>
      <c r="H157" s="4" t="s">
        <v>140</v>
      </c>
    </row>
    <row r="158" spans="1:8">
      <c r="A158" s="4" t="s">
        <v>363</v>
      </c>
      <c r="B158" s="4" t="s">
        <v>23</v>
      </c>
      <c r="C158" s="4" t="s">
        <v>17</v>
      </c>
      <c r="D158" s="4" t="s">
        <v>18</v>
      </c>
      <c r="E158" s="4" t="s">
        <v>364</v>
      </c>
      <c r="F158" s="7">
        <v>3488.75</v>
      </c>
      <c r="G158" s="4" t="s">
        <v>27</v>
      </c>
      <c r="H158" s="4" t="s">
        <v>200</v>
      </c>
    </row>
    <row r="159" spans="1:8">
      <c r="A159" s="4" t="s">
        <v>363</v>
      </c>
      <c r="B159" s="4" t="s">
        <v>56</v>
      </c>
      <c r="C159" s="4" t="s">
        <v>35</v>
      </c>
      <c r="D159" s="4" t="s">
        <v>41</v>
      </c>
      <c r="E159" s="4" t="s">
        <v>365</v>
      </c>
      <c r="F159" s="7">
        <v>1764.41</v>
      </c>
      <c r="G159" s="4" t="s">
        <v>27</v>
      </c>
      <c r="H159" s="4" t="s">
        <v>200</v>
      </c>
    </row>
    <row r="160" spans="1:8">
      <c r="A160" s="4" t="s">
        <v>363</v>
      </c>
      <c r="B160" s="4" t="s">
        <v>23</v>
      </c>
      <c r="C160" s="4" t="s">
        <v>57</v>
      </c>
      <c r="D160" s="4" t="s">
        <v>11</v>
      </c>
      <c r="E160" s="4" t="s">
        <v>366</v>
      </c>
      <c r="F160" s="7">
        <v>748.36</v>
      </c>
      <c r="G160" s="4" t="s">
        <v>27</v>
      </c>
      <c r="H160" s="4" t="s">
        <v>367</v>
      </c>
    </row>
    <row r="161" spans="1:8">
      <c r="A161" s="4" t="s">
        <v>368</v>
      </c>
      <c r="B161" s="4" t="s">
        <v>16</v>
      </c>
      <c r="C161" s="4" t="s">
        <v>57</v>
      </c>
      <c r="D161" s="4" t="s">
        <v>18</v>
      </c>
      <c r="E161" s="4" t="s">
        <v>369</v>
      </c>
      <c r="F161" s="7">
        <v>1556</v>
      </c>
      <c r="G161" s="4" t="s">
        <v>27</v>
      </c>
      <c r="H161" s="4" t="s">
        <v>280</v>
      </c>
    </row>
    <row r="162" spans="1:8">
      <c r="A162" s="4" t="s">
        <v>370</v>
      </c>
      <c r="B162" s="4" t="s">
        <v>23</v>
      </c>
      <c r="C162" s="4" t="s">
        <v>10</v>
      </c>
      <c r="D162" s="4" t="s">
        <v>18</v>
      </c>
      <c r="E162" s="4" t="s">
        <v>371</v>
      </c>
      <c r="F162" s="7">
        <v>4956.28</v>
      </c>
      <c r="G162" s="4" t="s">
        <v>27</v>
      </c>
      <c r="H162" s="4" t="s">
        <v>43</v>
      </c>
    </row>
    <row r="163" spans="1:8">
      <c r="A163" s="4" t="s">
        <v>372</v>
      </c>
      <c r="B163" s="4" t="s">
        <v>9</v>
      </c>
      <c r="C163" s="4" t="s">
        <v>35</v>
      </c>
      <c r="D163" s="4" t="s">
        <v>36</v>
      </c>
      <c r="E163" s="4" t="s">
        <v>373</v>
      </c>
      <c r="F163" s="7">
        <v>3872.61</v>
      </c>
      <c r="G163" s="4" t="s">
        <v>27</v>
      </c>
      <c r="H163" s="4" t="s">
        <v>45</v>
      </c>
    </row>
    <row r="164" spans="1:8">
      <c r="A164" s="4" t="s">
        <v>374</v>
      </c>
      <c r="B164" s="4" t="s">
        <v>56</v>
      </c>
      <c r="C164" s="4" t="s">
        <v>10</v>
      </c>
      <c r="D164" s="4" t="s">
        <v>48</v>
      </c>
      <c r="E164" s="4" t="s">
        <v>313</v>
      </c>
      <c r="F164" s="7">
        <v>3212.8</v>
      </c>
      <c r="G164" s="4" t="s">
        <v>13</v>
      </c>
      <c r="H164" s="4" t="s">
        <v>115</v>
      </c>
    </row>
    <row r="165" spans="1:8">
      <c r="A165" s="4" t="s">
        <v>375</v>
      </c>
      <c r="B165" s="4" t="s">
        <v>56</v>
      </c>
      <c r="C165" s="4" t="s">
        <v>17</v>
      </c>
      <c r="D165" s="4" t="s">
        <v>25</v>
      </c>
      <c r="E165" s="4" t="s">
        <v>376</v>
      </c>
      <c r="F165" s="7">
        <v>1832.94</v>
      </c>
      <c r="G165" s="4" t="s">
        <v>27</v>
      </c>
      <c r="H165" s="4" t="s">
        <v>301</v>
      </c>
    </row>
    <row r="166" spans="1:8">
      <c r="A166" s="4" t="s">
        <v>377</v>
      </c>
      <c r="B166" s="4" t="s">
        <v>40</v>
      </c>
      <c r="C166" s="4" t="s">
        <v>57</v>
      </c>
      <c r="D166" s="4" t="s">
        <v>11</v>
      </c>
      <c r="E166" s="4" t="s">
        <v>378</v>
      </c>
      <c r="F166" s="7">
        <v>693.93</v>
      </c>
      <c r="G166" s="4" t="s">
        <v>13</v>
      </c>
      <c r="H166" s="4" t="s">
        <v>327</v>
      </c>
    </row>
    <row r="167" spans="1:8">
      <c r="A167" s="4" t="s">
        <v>379</v>
      </c>
      <c r="B167" s="4" t="s">
        <v>9</v>
      </c>
      <c r="C167" s="4" t="s">
        <v>35</v>
      </c>
      <c r="D167" s="4" t="s">
        <v>36</v>
      </c>
      <c r="E167" s="4" t="s">
        <v>380</v>
      </c>
      <c r="F167" s="7">
        <v>4196.67</v>
      </c>
      <c r="G167" s="4" t="s">
        <v>13</v>
      </c>
      <c r="H167" s="4" t="s">
        <v>191</v>
      </c>
    </row>
    <row r="168" spans="1:8">
      <c r="A168" s="4" t="s">
        <v>381</v>
      </c>
      <c r="B168" s="4" t="s">
        <v>9</v>
      </c>
      <c r="C168" s="4" t="s">
        <v>17</v>
      </c>
      <c r="D168" s="4" t="s">
        <v>11</v>
      </c>
      <c r="E168" s="4" t="s">
        <v>382</v>
      </c>
      <c r="F168" s="7">
        <v>1348.21</v>
      </c>
      <c r="G168" s="4" t="s">
        <v>27</v>
      </c>
      <c r="H168" s="4" t="s">
        <v>54</v>
      </c>
    </row>
    <row r="169" spans="1:8">
      <c r="A169" s="4" t="s">
        <v>381</v>
      </c>
      <c r="B169" s="4" t="s">
        <v>9</v>
      </c>
      <c r="C169" s="4" t="s">
        <v>10</v>
      </c>
      <c r="D169" s="4" t="s">
        <v>18</v>
      </c>
      <c r="E169" s="4" t="s">
        <v>383</v>
      </c>
      <c r="F169" s="7">
        <v>4020.44</v>
      </c>
      <c r="G169" s="4" t="s">
        <v>20</v>
      </c>
      <c r="H169" s="4" t="s">
        <v>263</v>
      </c>
    </row>
    <row r="170" spans="1:8">
      <c r="A170" s="4" t="s">
        <v>384</v>
      </c>
      <c r="B170" s="4" t="s">
        <v>9</v>
      </c>
      <c r="C170" s="4" t="s">
        <v>57</v>
      </c>
      <c r="D170" s="4" t="s">
        <v>31</v>
      </c>
      <c r="E170" s="4" t="s">
        <v>385</v>
      </c>
      <c r="F170" s="7">
        <v>4860.32</v>
      </c>
      <c r="G170" s="4" t="s">
        <v>20</v>
      </c>
      <c r="H170" s="4" t="s">
        <v>74</v>
      </c>
    </row>
    <row r="171" spans="1:8">
      <c r="A171" s="4" t="s">
        <v>386</v>
      </c>
      <c r="B171" s="4" t="s">
        <v>40</v>
      </c>
      <c r="C171" s="4" t="s">
        <v>10</v>
      </c>
      <c r="D171" s="4" t="s">
        <v>18</v>
      </c>
      <c r="E171" s="4" t="s">
        <v>387</v>
      </c>
      <c r="F171" s="7">
        <v>1302.3</v>
      </c>
      <c r="G171" s="4" t="s">
        <v>13</v>
      </c>
      <c r="H171" s="4" t="s">
        <v>255</v>
      </c>
    </row>
    <row r="172" spans="1:8">
      <c r="A172" s="4" t="s">
        <v>386</v>
      </c>
      <c r="B172" s="4" t="s">
        <v>9</v>
      </c>
      <c r="C172" s="4" t="s">
        <v>30</v>
      </c>
      <c r="D172" s="4" t="s">
        <v>31</v>
      </c>
      <c r="E172" s="4" t="s">
        <v>388</v>
      </c>
      <c r="F172" s="7">
        <v>2937.68</v>
      </c>
      <c r="G172" s="4" t="s">
        <v>20</v>
      </c>
      <c r="H172" s="4" t="s">
        <v>51</v>
      </c>
    </row>
    <row r="173" spans="1:8">
      <c r="A173" s="4" t="s">
        <v>386</v>
      </c>
      <c r="B173" s="4" t="s">
        <v>40</v>
      </c>
      <c r="C173" s="4" t="s">
        <v>10</v>
      </c>
      <c r="D173" s="4" t="s">
        <v>31</v>
      </c>
      <c r="E173" s="4" t="s">
        <v>389</v>
      </c>
      <c r="F173" s="7">
        <v>1812.16</v>
      </c>
      <c r="G173" s="4" t="s">
        <v>20</v>
      </c>
      <c r="H173" s="4" t="s">
        <v>51</v>
      </c>
    </row>
    <row r="174" spans="1:8">
      <c r="A174" s="4" t="s">
        <v>390</v>
      </c>
      <c r="B174" s="4" t="s">
        <v>40</v>
      </c>
      <c r="C174" s="4" t="s">
        <v>57</v>
      </c>
      <c r="D174" s="4" t="s">
        <v>31</v>
      </c>
      <c r="E174" s="4" t="s">
        <v>391</v>
      </c>
      <c r="F174" s="7">
        <v>4374.7</v>
      </c>
      <c r="G174" s="4" t="s">
        <v>20</v>
      </c>
      <c r="H174" s="4" t="s">
        <v>260</v>
      </c>
    </row>
    <row r="175" spans="1:8">
      <c r="A175" s="4" t="s">
        <v>392</v>
      </c>
      <c r="B175" s="4" t="s">
        <v>56</v>
      </c>
      <c r="C175" s="4" t="s">
        <v>35</v>
      </c>
      <c r="D175" s="4" t="s">
        <v>18</v>
      </c>
      <c r="E175" s="4" t="s">
        <v>393</v>
      </c>
      <c r="F175" s="7">
        <v>3778.57</v>
      </c>
      <c r="G175" s="4" t="s">
        <v>27</v>
      </c>
      <c r="H175" s="4" t="s">
        <v>33</v>
      </c>
    </row>
    <row r="176" spans="1:8">
      <c r="A176" s="4" t="s">
        <v>394</v>
      </c>
      <c r="B176" s="4" t="s">
        <v>40</v>
      </c>
      <c r="C176" s="4" t="s">
        <v>10</v>
      </c>
      <c r="D176" s="4" t="s">
        <v>48</v>
      </c>
      <c r="E176" s="4" t="s">
        <v>395</v>
      </c>
      <c r="F176" s="7">
        <v>2686.32</v>
      </c>
      <c r="G176" s="4" t="s">
        <v>27</v>
      </c>
      <c r="H176" s="4" t="s">
        <v>157</v>
      </c>
    </row>
    <row r="177" spans="1:8">
      <c r="A177" s="4" t="s">
        <v>396</v>
      </c>
      <c r="B177" s="4" t="s">
        <v>40</v>
      </c>
      <c r="C177" s="4" t="s">
        <v>35</v>
      </c>
      <c r="D177" s="4" t="s">
        <v>31</v>
      </c>
      <c r="E177" s="4" t="s">
        <v>397</v>
      </c>
      <c r="F177" s="7">
        <v>2998.41</v>
      </c>
      <c r="G177" s="4" t="s">
        <v>27</v>
      </c>
      <c r="H177" s="4" t="s">
        <v>186</v>
      </c>
    </row>
    <row r="178" spans="1:8">
      <c r="A178" s="4" t="s">
        <v>398</v>
      </c>
      <c r="B178" s="4" t="s">
        <v>16</v>
      </c>
      <c r="C178" s="4" t="s">
        <v>10</v>
      </c>
      <c r="D178" s="4" t="s">
        <v>18</v>
      </c>
      <c r="E178" s="4" t="s">
        <v>399</v>
      </c>
      <c r="F178" s="7">
        <v>1422.46</v>
      </c>
      <c r="G178" s="4" t="s">
        <v>20</v>
      </c>
      <c r="H178" s="4" t="s">
        <v>120</v>
      </c>
    </row>
    <row r="179" spans="1:8">
      <c r="A179" s="4" t="s">
        <v>400</v>
      </c>
      <c r="B179" s="4" t="s">
        <v>23</v>
      </c>
      <c r="C179" s="4" t="s">
        <v>10</v>
      </c>
      <c r="D179" s="4" t="s">
        <v>36</v>
      </c>
      <c r="E179" s="4" t="s">
        <v>401</v>
      </c>
      <c r="F179" s="7">
        <v>4816.8100000000004</v>
      </c>
      <c r="G179" s="4" t="s">
        <v>27</v>
      </c>
      <c r="H179" s="4" t="s">
        <v>120</v>
      </c>
    </row>
    <row r="180" spans="1:8">
      <c r="A180" s="4" t="s">
        <v>402</v>
      </c>
      <c r="B180" s="4" t="s">
        <v>23</v>
      </c>
      <c r="C180" s="4" t="s">
        <v>35</v>
      </c>
      <c r="D180" s="4" t="s">
        <v>18</v>
      </c>
      <c r="E180" s="4" t="s">
        <v>403</v>
      </c>
      <c r="F180" s="7">
        <v>4007.71</v>
      </c>
      <c r="G180" s="4" t="s">
        <v>20</v>
      </c>
      <c r="H180" s="4" t="s">
        <v>115</v>
      </c>
    </row>
    <row r="181" spans="1:8">
      <c r="A181" s="4" t="s">
        <v>402</v>
      </c>
      <c r="B181" s="4" t="s">
        <v>23</v>
      </c>
      <c r="C181" s="4" t="s">
        <v>47</v>
      </c>
      <c r="D181" s="4" t="s">
        <v>41</v>
      </c>
      <c r="E181" s="4" t="s">
        <v>404</v>
      </c>
      <c r="F181" s="7">
        <v>1139.9100000000001</v>
      </c>
      <c r="G181" s="4" t="s">
        <v>13</v>
      </c>
      <c r="H181" s="4" t="s">
        <v>129</v>
      </c>
    </row>
    <row r="182" spans="1:8">
      <c r="A182" s="4" t="s">
        <v>405</v>
      </c>
      <c r="B182" s="4" t="s">
        <v>9</v>
      </c>
      <c r="C182" s="4" t="s">
        <v>57</v>
      </c>
      <c r="D182" s="4" t="s">
        <v>11</v>
      </c>
      <c r="E182" s="4" t="s">
        <v>406</v>
      </c>
      <c r="F182" s="7">
        <v>4901.16</v>
      </c>
      <c r="G182" s="4" t="s">
        <v>27</v>
      </c>
      <c r="H182" s="4" t="s">
        <v>145</v>
      </c>
    </row>
    <row r="183" spans="1:8">
      <c r="A183" s="4" t="s">
        <v>407</v>
      </c>
      <c r="B183" s="4" t="s">
        <v>9</v>
      </c>
      <c r="C183" s="4" t="s">
        <v>30</v>
      </c>
      <c r="D183" s="4" t="s">
        <v>48</v>
      </c>
      <c r="E183" s="4" t="s">
        <v>408</v>
      </c>
      <c r="F183" s="7">
        <v>140.30000000000001</v>
      </c>
      <c r="G183" s="4" t="s">
        <v>13</v>
      </c>
      <c r="H183" s="4" t="s">
        <v>45</v>
      </c>
    </row>
    <row r="184" spans="1:8">
      <c r="A184" s="4" t="s">
        <v>409</v>
      </c>
      <c r="B184" s="4" t="s">
        <v>40</v>
      </c>
      <c r="C184" s="4" t="s">
        <v>30</v>
      </c>
      <c r="D184" s="4" t="s">
        <v>31</v>
      </c>
      <c r="E184" s="4" t="s">
        <v>410</v>
      </c>
      <c r="F184" s="7">
        <v>4856.74</v>
      </c>
      <c r="G184" s="4" t="s">
        <v>20</v>
      </c>
      <c r="H184" s="4" t="s">
        <v>255</v>
      </c>
    </row>
    <row r="185" spans="1:8">
      <c r="A185" s="4" t="s">
        <v>409</v>
      </c>
      <c r="B185" s="4" t="s">
        <v>23</v>
      </c>
      <c r="C185" s="4" t="s">
        <v>24</v>
      </c>
      <c r="D185" s="4" t="s">
        <v>36</v>
      </c>
      <c r="E185" s="4" t="s">
        <v>411</v>
      </c>
      <c r="F185" s="7">
        <v>2759.86</v>
      </c>
      <c r="G185" s="4" t="s">
        <v>27</v>
      </c>
      <c r="H185" s="4" t="s">
        <v>120</v>
      </c>
    </row>
    <row r="186" spans="1:8">
      <c r="A186" s="4" t="s">
        <v>412</v>
      </c>
      <c r="B186" s="4" t="s">
        <v>23</v>
      </c>
      <c r="C186" s="4" t="s">
        <v>47</v>
      </c>
      <c r="D186" s="4" t="s">
        <v>48</v>
      </c>
      <c r="E186" s="4" t="s">
        <v>413</v>
      </c>
      <c r="F186" s="7">
        <v>3135.5</v>
      </c>
      <c r="G186" s="4" t="s">
        <v>27</v>
      </c>
      <c r="H186" s="4" t="s">
        <v>14</v>
      </c>
    </row>
    <row r="187" spans="1:8">
      <c r="A187" s="4" t="s">
        <v>414</v>
      </c>
      <c r="B187" s="4" t="s">
        <v>40</v>
      </c>
      <c r="C187" s="4" t="s">
        <v>35</v>
      </c>
      <c r="D187" s="4" t="s">
        <v>25</v>
      </c>
      <c r="E187" s="4" t="s">
        <v>415</v>
      </c>
      <c r="F187" s="7">
        <v>1221.5899999999999</v>
      </c>
      <c r="G187" s="4" t="s">
        <v>20</v>
      </c>
      <c r="H187" s="4" t="s">
        <v>263</v>
      </c>
    </row>
    <row r="188" spans="1:8">
      <c r="A188" s="4" t="s">
        <v>416</v>
      </c>
      <c r="B188" s="4" t="s">
        <v>16</v>
      </c>
      <c r="C188" s="4" t="s">
        <v>24</v>
      </c>
      <c r="D188" s="4" t="s">
        <v>48</v>
      </c>
      <c r="E188" s="4" t="s">
        <v>417</v>
      </c>
      <c r="F188" s="7">
        <v>1785.41</v>
      </c>
      <c r="G188" s="4" t="s">
        <v>27</v>
      </c>
      <c r="H188" s="4" t="s">
        <v>194</v>
      </c>
    </row>
    <row r="189" spans="1:8">
      <c r="A189" s="4" t="s">
        <v>418</v>
      </c>
      <c r="B189" s="4" t="s">
        <v>9</v>
      </c>
      <c r="C189" s="4" t="s">
        <v>24</v>
      </c>
      <c r="D189" s="4" t="s">
        <v>48</v>
      </c>
      <c r="E189" s="4" t="s">
        <v>419</v>
      </c>
      <c r="F189" s="7">
        <v>740.49</v>
      </c>
      <c r="G189" s="4" t="s">
        <v>27</v>
      </c>
      <c r="H189" s="4" t="s">
        <v>172</v>
      </c>
    </row>
    <row r="190" spans="1:8">
      <c r="A190" s="4" t="s">
        <v>420</v>
      </c>
      <c r="B190" s="4" t="s">
        <v>40</v>
      </c>
      <c r="C190" s="4" t="s">
        <v>17</v>
      </c>
      <c r="D190" s="4" t="s">
        <v>11</v>
      </c>
      <c r="E190" s="4" t="s">
        <v>421</v>
      </c>
      <c r="F190" s="7">
        <v>2228.75</v>
      </c>
      <c r="G190" s="4" t="s">
        <v>27</v>
      </c>
      <c r="H190" s="4" t="s">
        <v>38</v>
      </c>
    </row>
    <row r="191" spans="1:8">
      <c r="A191" s="4" t="s">
        <v>420</v>
      </c>
      <c r="B191" s="4" t="s">
        <v>56</v>
      </c>
      <c r="C191" s="4" t="s">
        <v>10</v>
      </c>
      <c r="D191" s="4" t="s">
        <v>36</v>
      </c>
      <c r="E191" s="4" t="s">
        <v>422</v>
      </c>
      <c r="F191" s="7">
        <v>1694.12</v>
      </c>
      <c r="G191" s="4" t="s">
        <v>27</v>
      </c>
      <c r="H191" s="4" t="s">
        <v>110</v>
      </c>
    </row>
    <row r="192" spans="1:8">
      <c r="A192" s="4" t="s">
        <v>423</v>
      </c>
      <c r="B192" s="4" t="s">
        <v>9</v>
      </c>
      <c r="C192" s="4" t="s">
        <v>24</v>
      </c>
      <c r="D192" s="4" t="s">
        <v>48</v>
      </c>
      <c r="E192" s="4" t="s">
        <v>424</v>
      </c>
      <c r="F192" s="7">
        <v>4568.1099999999997</v>
      </c>
      <c r="G192" s="4" t="s">
        <v>27</v>
      </c>
      <c r="H192" s="4" t="s">
        <v>191</v>
      </c>
    </row>
    <row r="193" spans="1:8">
      <c r="A193" s="4" t="s">
        <v>425</v>
      </c>
      <c r="B193" s="4" t="s">
        <v>40</v>
      </c>
      <c r="C193" s="4" t="s">
        <v>24</v>
      </c>
      <c r="D193" s="4" t="s">
        <v>18</v>
      </c>
      <c r="E193" s="4" t="s">
        <v>426</v>
      </c>
      <c r="F193" s="7">
        <v>1191.82</v>
      </c>
      <c r="G193" s="4" t="s">
        <v>27</v>
      </c>
      <c r="H193" s="4" t="s">
        <v>348</v>
      </c>
    </row>
    <row r="194" spans="1:8">
      <c r="A194" s="4" t="s">
        <v>427</v>
      </c>
      <c r="B194" s="4" t="s">
        <v>23</v>
      </c>
      <c r="C194" s="4" t="s">
        <v>30</v>
      </c>
      <c r="D194" s="4" t="s">
        <v>11</v>
      </c>
      <c r="E194" s="4" t="s">
        <v>428</v>
      </c>
      <c r="F194" s="7">
        <v>4880.47</v>
      </c>
      <c r="G194" s="4" t="s">
        <v>27</v>
      </c>
      <c r="H194" s="4" t="s">
        <v>194</v>
      </c>
    </row>
    <row r="195" spans="1:8">
      <c r="A195" s="4" t="s">
        <v>429</v>
      </c>
      <c r="B195" s="4" t="s">
        <v>23</v>
      </c>
      <c r="C195" s="4" t="s">
        <v>47</v>
      </c>
      <c r="D195" s="4" t="s">
        <v>18</v>
      </c>
      <c r="E195" s="4" t="s">
        <v>430</v>
      </c>
      <c r="F195" s="7">
        <v>4399.22</v>
      </c>
      <c r="G195" s="4" t="s">
        <v>13</v>
      </c>
      <c r="H195" s="4" t="s">
        <v>110</v>
      </c>
    </row>
    <row r="196" spans="1:8">
      <c r="A196" s="4" t="s">
        <v>431</v>
      </c>
      <c r="B196" s="4" t="s">
        <v>16</v>
      </c>
      <c r="C196" s="4" t="s">
        <v>35</v>
      </c>
      <c r="D196" s="4" t="s">
        <v>18</v>
      </c>
      <c r="E196" s="4" t="s">
        <v>432</v>
      </c>
      <c r="F196" s="7">
        <v>2581.14</v>
      </c>
      <c r="G196" s="4" t="s">
        <v>27</v>
      </c>
      <c r="H196" s="4" t="s">
        <v>263</v>
      </c>
    </row>
    <row r="197" spans="1:8">
      <c r="A197" s="4" t="s">
        <v>431</v>
      </c>
      <c r="B197" s="4" t="s">
        <v>40</v>
      </c>
      <c r="C197" s="4" t="s">
        <v>57</v>
      </c>
      <c r="D197" s="4" t="s">
        <v>36</v>
      </c>
      <c r="E197" s="4" t="s">
        <v>433</v>
      </c>
      <c r="F197" s="7">
        <v>1883.84</v>
      </c>
      <c r="G197" s="4" t="s">
        <v>27</v>
      </c>
      <c r="H197" s="4" t="s">
        <v>348</v>
      </c>
    </row>
    <row r="198" spans="1:8">
      <c r="A198" s="4" t="s">
        <v>434</v>
      </c>
      <c r="B198" s="4" t="s">
        <v>56</v>
      </c>
      <c r="C198" s="4" t="s">
        <v>47</v>
      </c>
      <c r="D198" s="4" t="s">
        <v>18</v>
      </c>
      <c r="E198" s="4" t="s">
        <v>435</v>
      </c>
      <c r="F198" s="7">
        <v>3274.27</v>
      </c>
      <c r="G198" s="4" t="s">
        <v>13</v>
      </c>
      <c r="H198" s="4" t="s">
        <v>247</v>
      </c>
    </row>
    <row r="199" spans="1:8">
      <c r="A199" s="4" t="s">
        <v>434</v>
      </c>
      <c r="B199" s="4" t="s">
        <v>23</v>
      </c>
      <c r="C199" s="4" t="s">
        <v>10</v>
      </c>
      <c r="D199" s="4" t="s">
        <v>11</v>
      </c>
      <c r="E199" s="4" t="s">
        <v>436</v>
      </c>
      <c r="F199" s="7">
        <v>4414.1000000000004</v>
      </c>
      <c r="G199" s="4" t="s">
        <v>20</v>
      </c>
      <c r="H199" s="4" t="s">
        <v>247</v>
      </c>
    </row>
    <row r="200" spans="1:8">
      <c r="A200" s="4" t="s">
        <v>437</v>
      </c>
      <c r="B200" s="4" t="s">
        <v>56</v>
      </c>
      <c r="C200" s="4" t="s">
        <v>47</v>
      </c>
      <c r="D200" s="4" t="s">
        <v>31</v>
      </c>
      <c r="E200" s="4" t="s">
        <v>438</v>
      </c>
      <c r="F200" s="7">
        <v>596.85</v>
      </c>
      <c r="G200" s="4" t="s">
        <v>27</v>
      </c>
      <c r="H200" s="4" t="s">
        <v>194</v>
      </c>
    </row>
    <row r="201" spans="1:8">
      <c r="A201" s="4" t="s">
        <v>439</v>
      </c>
      <c r="B201" s="4" t="s">
        <v>16</v>
      </c>
      <c r="C201" s="4" t="s">
        <v>57</v>
      </c>
      <c r="D201" s="4" t="s">
        <v>31</v>
      </c>
      <c r="E201" s="4" t="s">
        <v>440</v>
      </c>
      <c r="F201" s="7">
        <v>822.96</v>
      </c>
      <c r="G201" s="4" t="s">
        <v>13</v>
      </c>
      <c r="H201" s="4" t="s">
        <v>69</v>
      </c>
    </row>
  </sheetData>
  <pageMargins left="0.75" right="0.75" top="1" bottom="1" header="0.5" footer="0.5"/>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6"/>
  <sheetViews>
    <sheetView workbookViewId="0"/>
  </sheetViews>
  <sheetFormatPr defaultRowHeight="15"/>
  <cols>
    <col min="1" max="1" width="15" customWidth="1"/>
    <col min="2" max="3" width="18" style="11" customWidth="1"/>
    <col min="4" max="4" width="20" customWidth="1"/>
  </cols>
  <sheetData>
    <row r="1" spans="1:4" ht="15.75">
      <c r="A1" s="3" t="s">
        <v>1</v>
      </c>
      <c r="B1" s="9" t="s">
        <v>441</v>
      </c>
      <c r="C1" s="9" t="s">
        <v>442</v>
      </c>
      <c r="D1" s="3" t="s">
        <v>443</v>
      </c>
    </row>
    <row r="2" spans="1:4">
      <c r="A2" s="4" t="s">
        <v>16</v>
      </c>
      <c r="B2" s="10">
        <v>79151.92</v>
      </c>
      <c r="C2" s="10">
        <v>2473.5</v>
      </c>
      <c r="D2" s="4">
        <v>32</v>
      </c>
    </row>
    <row r="3" spans="1:4">
      <c r="A3" s="4" t="s">
        <v>9</v>
      </c>
      <c r="B3" s="10">
        <v>130351.16</v>
      </c>
      <c r="C3" s="10">
        <v>2715.65</v>
      </c>
      <c r="D3" s="4">
        <v>48</v>
      </c>
    </row>
    <row r="4" spans="1:4">
      <c r="A4" s="4" t="s">
        <v>23</v>
      </c>
      <c r="B4" s="10">
        <v>136663.54</v>
      </c>
      <c r="C4" s="10">
        <v>3036.97</v>
      </c>
      <c r="D4" s="4">
        <v>45</v>
      </c>
    </row>
    <row r="5" spans="1:4">
      <c r="A5" s="4" t="s">
        <v>56</v>
      </c>
      <c r="B5" s="10">
        <v>77035.19</v>
      </c>
      <c r="C5" s="10">
        <v>2751.26</v>
      </c>
      <c r="D5" s="4">
        <v>28</v>
      </c>
    </row>
    <row r="6" spans="1:4">
      <c r="A6" s="4" t="s">
        <v>40</v>
      </c>
      <c r="B6" s="10">
        <v>126112.7</v>
      </c>
      <c r="C6" s="10">
        <v>2683.25</v>
      </c>
      <c r="D6" s="4">
        <v>47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8"/>
  <sheetViews>
    <sheetView workbookViewId="0"/>
  </sheetViews>
  <sheetFormatPr defaultRowHeight="15"/>
  <cols>
    <col min="1" max="1" width="15" customWidth="1"/>
    <col min="2" max="2" width="18" style="11" customWidth="1"/>
    <col min="3" max="3" width="20" customWidth="1"/>
  </cols>
  <sheetData>
    <row r="1" spans="1:3" ht="15.75">
      <c r="A1" s="3" t="s">
        <v>2</v>
      </c>
      <c r="B1" s="9" t="s">
        <v>441</v>
      </c>
      <c r="C1" s="3" t="s">
        <v>443</v>
      </c>
    </row>
    <row r="2" spans="1:3">
      <c r="A2" s="4" t="s">
        <v>35</v>
      </c>
      <c r="B2" s="10">
        <v>119371.69</v>
      </c>
      <c r="C2" s="4">
        <v>41</v>
      </c>
    </row>
    <row r="3" spans="1:3">
      <c r="A3" s="4" t="s">
        <v>30</v>
      </c>
      <c r="B3" s="10">
        <v>71439.94</v>
      </c>
      <c r="C3" s="4">
        <v>26</v>
      </c>
    </row>
    <row r="4" spans="1:3">
      <c r="A4" s="4" t="s">
        <v>47</v>
      </c>
      <c r="B4" s="10">
        <v>83551.66</v>
      </c>
      <c r="C4" s="4">
        <v>30</v>
      </c>
    </row>
    <row r="5" spans="1:3">
      <c r="A5" s="4" t="s">
        <v>17</v>
      </c>
      <c r="B5" s="10">
        <v>52549.06</v>
      </c>
      <c r="C5" s="4">
        <v>22</v>
      </c>
    </row>
    <row r="6" spans="1:3">
      <c r="A6" s="4" t="s">
        <v>10</v>
      </c>
      <c r="B6" s="10">
        <v>64247.77</v>
      </c>
      <c r="C6" s="4">
        <v>22</v>
      </c>
    </row>
    <row r="7" spans="1:3">
      <c r="A7" s="4" t="s">
        <v>24</v>
      </c>
      <c r="B7" s="10">
        <v>82360.63</v>
      </c>
      <c r="C7" s="4">
        <v>30</v>
      </c>
    </row>
    <row r="8" spans="1:3">
      <c r="A8" s="4" t="s">
        <v>57</v>
      </c>
      <c r="B8" s="10">
        <v>75793.759999999995</v>
      </c>
      <c r="C8" s="4">
        <v>29</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3"/>
  <sheetViews>
    <sheetView workbookViewId="0"/>
  </sheetViews>
  <sheetFormatPr defaultRowHeight="15"/>
  <cols>
    <col min="1" max="1" width="12" customWidth="1"/>
    <col min="2" max="2" width="18" style="11" customWidth="1"/>
    <col min="3" max="3" width="20" customWidth="1"/>
    <col min="4" max="4" width="18" style="11" customWidth="1"/>
  </cols>
  <sheetData>
    <row r="1" spans="1:4" ht="15.75">
      <c r="A1" s="3" t="s">
        <v>444</v>
      </c>
      <c r="B1" s="9" t="s">
        <v>441</v>
      </c>
      <c r="C1" s="3" t="s">
        <v>443</v>
      </c>
      <c r="D1" s="9" t="s">
        <v>442</v>
      </c>
    </row>
    <row r="2" spans="1:4">
      <c r="A2" s="4" t="s">
        <v>445</v>
      </c>
      <c r="B2" s="10">
        <v>69779.98</v>
      </c>
      <c r="C2" s="4">
        <v>22</v>
      </c>
      <c r="D2" s="10">
        <v>3171.82</v>
      </c>
    </row>
    <row r="3" spans="1:4">
      <c r="A3" s="4" t="s">
        <v>446</v>
      </c>
      <c r="B3" s="10">
        <v>52825.2</v>
      </c>
      <c r="C3" s="4">
        <v>15</v>
      </c>
      <c r="D3" s="10">
        <v>3521.68</v>
      </c>
    </row>
    <row r="4" spans="1:4">
      <c r="A4" s="4" t="s">
        <v>447</v>
      </c>
      <c r="B4" s="10">
        <v>33500.28</v>
      </c>
      <c r="C4" s="4">
        <v>14</v>
      </c>
      <c r="D4" s="10">
        <v>2392.88</v>
      </c>
    </row>
    <row r="5" spans="1:4">
      <c r="A5" s="4" t="s">
        <v>448</v>
      </c>
      <c r="B5" s="10">
        <v>55056.43</v>
      </c>
      <c r="C5" s="4">
        <v>19</v>
      </c>
      <c r="D5" s="10">
        <v>2897.71</v>
      </c>
    </row>
    <row r="6" spans="1:4">
      <c r="A6" s="4" t="s">
        <v>449</v>
      </c>
      <c r="B6" s="10">
        <v>37812.18</v>
      </c>
      <c r="C6" s="4">
        <v>14</v>
      </c>
      <c r="D6" s="10">
        <v>2700.87</v>
      </c>
    </row>
    <row r="7" spans="1:4">
      <c r="A7" s="4" t="s">
        <v>450</v>
      </c>
      <c r="B7" s="10">
        <v>29335.21</v>
      </c>
      <c r="C7" s="4">
        <v>11</v>
      </c>
      <c r="D7" s="10">
        <v>2666.84</v>
      </c>
    </row>
    <row r="8" spans="1:4">
      <c r="A8" s="4" t="s">
        <v>451</v>
      </c>
      <c r="B8" s="10">
        <v>34512.11</v>
      </c>
      <c r="C8" s="4">
        <v>17</v>
      </c>
      <c r="D8" s="10">
        <v>2030.12</v>
      </c>
    </row>
    <row r="9" spans="1:4">
      <c r="A9" s="4" t="s">
        <v>452</v>
      </c>
      <c r="B9" s="10">
        <v>57315.9</v>
      </c>
      <c r="C9" s="4">
        <v>23</v>
      </c>
      <c r="D9" s="10">
        <v>2492</v>
      </c>
    </row>
    <row r="10" spans="1:4">
      <c r="A10" s="4" t="s">
        <v>453</v>
      </c>
      <c r="B10" s="10">
        <v>40083.07</v>
      </c>
      <c r="C10" s="4">
        <v>14</v>
      </c>
      <c r="D10" s="10">
        <v>2863.08</v>
      </c>
    </row>
    <row r="11" spans="1:4">
      <c r="A11" s="4" t="s">
        <v>454</v>
      </c>
      <c r="B11" s="10">
        <v>40620.85</v>
      </c>
      <c r="C11" s="4">
        <v>15</v>
      </c>
      <c r="D11" s="10">
        <v>2708.06</v>
      </c>
    </row>
    <row r="12" spans="1:4">
      <c r="A12" s="4" t="s">
        <v>455</v>
      </c>
      <c r="B12" s="10">
        <v>59054.66</v>
      </c>
      <c r="C12" s="4">
        <v>20</v>
      </c>
      <c r="D12" s="10">
        <v>2952.73</v>
      </c>
    </row>
    <row r="13" spans="1:4">
      <c r="A13" s="4" t="s">
        <v>456</v>
      </c>
      <c r="B13" s="10">
        <v>39418.639999999999</v>
      </c>
      <c r="C13" s="4">
        <v>16</v>
      </c>
      <c r="D13" s="10">
        <v>2463.66</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T42"/>
  <sheetViews>
    <sheetView topLeftCell="C8" zoomScale="62" workbookViewId="0">
      <selection activeCell="D12" sqref="D12"/>
    </sheetView>
  </sheetViews>
  <sheetFormatPr defaultRowHeight="15"/>
  <cols>
    <col min="1" max="1" width="20.7109375" customWidth="1"/>
    <col min="2" max="2" width="23.140625" customWidth="1"/>
    <col min="3" max="3" width="17.140625" customWidth="1"/>
    <col min="4" max="7" width="13" customWidth="1"/>
    <col min="8" max="8" width="22.7109375" customWidth="1"/>
    <col min="9" max="9" width="16" customWidth="1"/>
    <col min="10" max="10" width="20.7109375" customWidth="1"/>
    <col min="11" max="12" width="14.85546875" customWidth="1"/>
    <col min="13" max="13" width="16.28515625" customWidth="1"/>
    <col min="14" max="14" width="12.7109375" customWidth="1"/>
    <col min="15" max="19" width="9" customWidth="1"/>
    <col min="20" max="20" width="11.28515625" bestFit="1" customWidth="1"/>
  </cols>
  <sheetData>
    <row r="2" spans="1:20">
      <c r="A2" s="12" t="s">
        <v>457</v>
      </c>
      <c r="B2" s="12" t="s">
        <v>458</v>
      </c>
      <c r="C2" s="5"/>
      <c r="D2" s="5"/>
      <c r="E2" s="5"/>
      <c r="F2" s="5"/>
      <c r="G2" s="5"/>
      <c r="H2" s="5"/>
      <c r="I2" s="5"/>
      <c r="J2" s="5"/>
      <c r="K2" s="5"/>
      <c r="L2" s="5"/>
      <c r="M2" s="5"/>
      <c r="N2" s="5"/>
      <c r="O2" s="5"/>
      <c r="P2" s="5"/>
      <c r="Q2" s="5"/>
      <c r="R2" s="5"/>
      <c r="S2" s="5"/>
      <c r="T2" s="5"/>
    </row>
    <row r="3" spans="1:20">
      <c r="A3" s="12" t="s">
        <v>459</v>
      </c>
      <c r="B3" s="5" t="s">
        <v>35</v>
      </c>
      <c r="C3" s="5" t="s">
        <v>30</v>
      </c>
      <c r="D3" s="5" t="s">
        <v>47</v>
      </c>
      <c r="E3" s="5" t="s">
        <v>17</v>
      </c>
      <c r="F3" s="5" t="s">
        <v>10</v>
      </c>
      <c r="G3" s="5" t="s">
        <v>24</v>
      </c>
      <c r="H3" s="5" t="s">
        <v>57</v>
      </c>
      <c r="I3" s="5" t="s">
        <v>460</v>
      </c>
      <c r="J3" s="5"/>
      <c r="K3" s="5"/>
      <c r="L3" s="5"/>
      <c r="M3" s="5"/>
      <c r="N3" s="5"/>
      <c r="O3" s="5"/>
      <c r="P3" s="5"/>
      <c r="Q3" s="5"/>
      <c r="R3" s="5"/>
      <c r="S3" s="5"/>
      <c r="T3" s="5"/>
    </row>
    <row r="4" spans="1:20">
      <c r="A4" s="13" t="s">
        <v>16</v>
      </c>
      <c r="B4" s="14">
        <v>9575.1799999999985</v>
      </c>
      <c r="C4" s="14">
        <v>10193.24</v>
      </c>
      <c r="D4" s="14">
        <v>13374.130000000001</v>
      </c>
      <c r="E4" s="14">
        <v>9381.82</v>
      </c>
      <c r="F4" s="14">
        <v>8554.59</v>
      </c>
      <c r="G4" s="14">
        <v>21899.21</v>
      </c>
      <c r="H4" s="14">
        <v>6173.75</v>
      </c>
      <c r="I4" s="14">
        <v>79151.920000000013</v>
      </c>
      <c r="J4" s="5"/>
      <c r="K4" s="5"/>
      <c r="L4" s="5"/>
      <c r="M4" s="5"/>
      <c r="N4" s="5"/>
      <c r="O4" s="5"/>
      <c r="P4" s="5"/>
      <c r="Q4" s="5"/>
      <c r="R4" s="5"/>
      <c r="S4" s="5"/>
      <c r="T4" s="5"/>
    </row>
    <row r="5" spans="1:20">
      <c r="A5" s="13" t="s">
        <v>9</v>
      </c>
      <c r="B5" s="14">
        <v>42585.299999999996</v>
      </c>
      <c r="C5" s="14">
        <v>15630.780000000002</v>
      </c>
      <c r="D5" s="14">
        <v>20842.689999999999</v>
      </c>
      <c r="E5" s="14">
        <v>7678.73</v>
      </c>
      <c r="F5" s="14">
        <v>10250.59</v>
      </c>
      <c r="G5" s="14">
        <v>13701.89</v>
      </c>
      <c r="H5" s="14">
        <v>19661.18</v>
      </c>
      <c r="I5" s="14">
        <v>130351.16</v>
      </c>
      <c r="J5" s="5"/>
      <c r="K5" s="5"/>
      <c r="L5" s="5"/>
      <c r="M5" s="5"/>
      <c r="N5" s="5"/>
      <c r="O5" s="5"/>
      <c r="P5" s="5"/>
      <c r="Q5" s="5"/>
      <c r="R5" s="5"/>
      <c r="S5" s="5"/>
      <c r="T5" s="5"/>
    </row>
    <row r="6" spans="1:20">
      <c r="A6" s="13" t="s">
        <v>23</v>
      </c>
      <c r="B6" s="14">
        <v>27291.309999999998</v>
      </c>
      <c r="C6" s="14">
        <v>18550.940000000002</v>
      </c>
      <c r="D6" s="14">
        <v>15400.510000000002</v>
      </c>
      <c r="E6" s="14">
        <v>10964.9</v>
      </c>
      <c r="F6" s="14">
        <v>22962.89</v>
      </c>
      <c r="G6" s="14">
        <v>29089.65</v>
      </c>
      <c r="H6" s="14">
        <v>12403.34</v>
      </c>
      <c r="I6" s="14">
        <v>136663.54</v>
      </c>
      <c r="J6" s="5"/>
      <c r="K6" s="5"/>
      <c r="L6" s="5"/>
      <c r="M6" s="5"/>
      <c r="N6" s="5"/>
      <c r="O6" s="5"/>
      <c r="P6" s="5"/>
      <c r="Q6" s="5"/>
      <c r="R6" s="5"/>
      <c r="S6" s="5"/>
      <c r="T6" s="5"/>
    </row>
    <row r="7" spans="1:20">
      <c r="A7" s="13" t="s">
        <v>56</v>
      </c>
      <c r="B7" s="14">
        <v>19985.16</v>
      </c>
      <c r="C7" s="14">
        <v>11623.19</v>
      </c>
      <c r="D7" s="14">
        <v>14704.03</v>
      </c>
      <c r="E7" s="14">
        <v>4433.42</v>
      </c>
      <c r="F7" s="14">
        <v>7341.17</v>
      </c>
      <c r="G7" s="14">
        <v>8470.77</v>
      </c>
      <c r="H7" s="14">
        <v>10477.449999999999</v>
      </c>
      <c r="I7" s="14">
        <v>77035.189999999988</v>
      </c>
      <c r="J7" s="5"/>
      <c r="K7" s="5"/>
      <c r="L7" s="5"/>
      <c r="M7" s="5"/>
      <c r="N7" s="5"/>
      <c r="O7" s="5"/>
      <c r="P7" s="5"/>
      <c r="Q7" s="5"/>
      <c r="R7" s="5"/>
      <c r="S7" s="5"/>
      <c r="T7" s="5"/>
    </row>
    <row r="8" spans="1:20">
      <c r="A8" s="13" t="s">
        <v>40</v>
      </c>
      <c r="B8" s="14">
        <v>19934.740000000002</v>
      </c>
      <c r="C8" s="14">
        <v>15441.789999999999</v>
      </c>
      <c r="D8" s="14">
        <v>19230.300000000003</v>
      </c>
      <c r="E8" s="14">
        <v>20090.189999999999</v>
      </c>
      <c r="F8" s="14">
        <v>15138.529999999999</v>
      </c>
      <c r="G8" s="14">
        <v>9199.1099999999988</v>
      </c>
      <c r="H8" s="14">
        <v>27078.039999999997</v>
      </c>
      <c r="I8" s="14">
        <v>126112.7</v>
      </c>
      <c r="J8" s="5"/>
      <c r="K8" s="5"/>
      <c r="L8" s="5"/>
      <c r="M8" s="5"/>
      <c r="N8" s="5"/>
      <c r="O8" s="5"/>
      <c r="P8" s="5"/>
      <c r="Q8" s="5"/>
      <c r="R8" s="5"/>
      <c r="S8" s="5"/>
      <c r="T8" s="5"/>
    </row>
    <row r="9" spans="1:20">
      <c r="A9" s="13" t="s">
        <v>460</v>
      </c>
      <c r="B9" s="14">
        <v>119371.69</v>
      </c>
      <c r="C9" s="14">
        <v>71439.94</v>
      </c>
      <c r="D9" s="14">
        <v>83551.66</v>
      </c>
      <c r="E9" s="14">
        <v>52549.06</v>
      </c>
      <c r="F9" s="14">
        <v>64247.77</v>
      </c>
      <c r="G9" s="14">
        <v>82360.63</v>
      </c>
      <c r="H9" s="14">
        <v>75793.759999999995</v>
      </c>
      <c r="I9" s="14">
        <v>549314.51</v>
      </c>
      <c r="J9" s="5"/>
      <c r="K9" s="5"/>
      <c r="L9" s="5"/>
      <c r="M9" s="5"/>
      <c r="N9" s="5"/>
      <c r="O9" s="5"/>
      <c r="P9" s="5"/>
      <c r="Q9" s="5"/>
      <c r="R9" s="5"/>
      <c r="S9" s="5"/>
      <c r="T9" s="5"/>
    </row>
    <row r="11" spans="1:20" ht="21">
      <c r="A11" s="15" t="s">
        <v>461</v>
      </c>
      <c r="B11" s="16"/>
      <c r="C11" s="5"/>
      <c r="D11" s="5"/>
      <c r="E11" s="5"/>
      <c r="F11" s="5"/>
      <c r="G11" s="5"/>
      <c r="H11" s="5"/>
      <c r="I11" s="5"/>
      <c r="J11" s="5"/>
      <c r="K11" s="5"/>
      <c r="L11" s="5"/>
      <c r="M11" s="5"/>
      <c r="N11" s="5"/>
      <c r="O11" s="5"/>
      <c r="P11" s="5"/>
      <c r="Q11" s="5"/>
      <c r="R11" s="5"/>
      <c r="S11" s="5"/>
      <c r="T11" s="5"/>
    </row>
    <row r="12" spans="1:20">
      <c r="A12" s="5"/>
      <c r="B12" s="5"/>
      <c r="C12" s="5"/>
      <c r="D12" s="5" t="s">
        <v>462</v>
      </c>
      <c r="E12" s="5"/>
      <c r="F12" s="5"/>
      <c r="G12" s="5"/>
      <c r="H12" s="5"/>
      <c r="I12" s="5"/>
      <c r="J12" s="5"/>
      <c r="K12" s="5"/>
      <c r="L12" s="5"/>
      <c r="M12" s="5"/>
      <c r="N12" s="5"/>
      <c r="O12" s="5"/>
      <c r="P12" s="5"/>
      <c r="Q12" s="5"/>
      <c r="R12" s="5"/>
      <c r="S12" s="5"/>
      <c r="T12" s="5"/>
    </row>
    <row r="13" spans="1:20" ht="15.75">
      <c r="A13" s="17"/>
      <c r="B13" s="16"/>
      <c r="C13" s="5"/>
      <c r="D13" s="12" t="s">
        <v>457</v>
      </c>
      <c r="E13" s="12" t="s">
        <v>458</v>
      </c>
      <c r="F13" s="5"/>
      <c r="G13" s="5"/>
      <c r="H13" s="5"/>
      <c r="I13" s="5"/>
      <c r="J13" s="5"/>
      <c r="K13" s="5"/>
      <c r="L13" s="5"/>
      <c r="M13" s="5"/>
      <c r="N13" s="5"/>
      <c r="O13" s="5"/>
      <c r="P13" s="5"/>
      <c r="Q13" s="5"/>
      <c r="R13" s="5"/>
      <c r="S13" s="5"/>
      <c r="T13" s="5"/>
    </row>
    <row r="14" spans="1:20">
      <c r="A14" s="1"/>
      <c r="B14" s="2"/>
      <c r="C14" s="5"/>
      <c r="D14" s="12" t="s">
        <v>459</v>
      </c>
      <c r="E14" s="5" t="s">
        <v>16</v>
      </c>
      <c r="F14" s="5" t="s">
        <v>9</v>
      </c>
      <c r="G14" s="5" t="s">
        <v>23</v>
      </c>
      <c r="H14" s="5" t="s">
        <v>56</v>
      </c>
      <c r="I14" s="5" t="s">
        <v>40</v>
      </c>
      <c r="J14" s="5" t="s">
        <v>460</v>
      </c>
      <c r="K14" s="5"/>
      <c r="L14" s="5"/>
      <c r="M14" s="5"/>
      <c r="N14" s="5"/>
      <c r="O14" s="5"/>
      <c r="P14" s="5"/>
      <c r="Q14" s="5"/>
      <c r="R14" s="5"/>
      <c r="S14" s="5"/>
      <c r="T14" s="5"/>
    </row>
    <row r="15" spans="1:20">
      <c r="A15" s="1"/>
      <c r="B15" s="2"/>
      <c r="C15" s="5"/>
      <c r="D15" s="13" t="s">
        <v>27</v>
      </c>
      <c r="E15" s="14">
        <v>70442.460000000006</v>
      </c>
      <c r="F15" s="14">
        <v>71475.16</v>
      </c>
      <c r="G15" s="14">
        <v>81279.839999999997</v>
      </c>
      <c r="H15" s="14">
        <v>39001.299999999996</v>
      </c>
      <c r="I15" s="14">
        <v>54295.669999999991</v>
      </c>
      <c r="J15" s="14">
        <v>316494.43</v>
      </c>
      <c r="K15" s="5"/>
      <c r="L15" s="5"/>
      <c r="M15" s="5"/>
      <c r="N15" s="5"/>
      <c r="O15" s="5"/>
      <c r="P15" s="5"/>
      <c r="Q15" s="5"/>
      <c r="R15" s="5"/>
      <c r="S15" s="5"/>
      <c r="T15" s="5"/>
    </row>
    <row r="16" spans="1:20">
      <c r="A16" s="1"/>
      <c r="B16" s="2"/>
      <c r="C16" s="5"/>
      <c r="D16" s="13" t="s">
        <v>13</v>
      </c>
      <c r="E16" s="14">
        <v>822.96</v>
      </c>
      <c r="F16" s="14">
        <v>20391.109999999997</v>
      </c>
      <c r="G16" s="14">
        <v>26910.719999999998</v>
      </c>
      <c r="H16" s="14">
        <v>33897.39</v>
      </c>
      <c r="I16" s="14">
        <v>38846.240000000005</v>
      </c>
      <c r="J16" s="14">
        <v>120868.42</v>
      </c>
      <c r="K16" s="5"/>
      <c r="L16" s="13"/>
      <c r="M16" s="14"/>
      <c r="N16" s="14"/>
      <c r="O16" s="14"/>
      <c r="P16" s="14"/>
      <c r="Q16" s="14"/>
      <c r="R16" s="14"/>
      <c r="S16" s="14"/>
      <c r="T16" s="14"/>
    </row>
    <row r="17" spans="1:20">
      <c r="A17" s="1"/>
      <c r="B17" s="2"/>
      <c r="C17" s="5"/>
      <c r="D17" s="13" t="s">
        <v>20</v>
      </c>
      <c r="E17" s="14">
        <v>7886.4999999999991</v>
      </c>
      <c r="F17" s="14">
        <v>38484.89</v>
      </c>
      <c r="G17" s="14">
        <v>28472.979999999996</v>
      </c>
      <c r="H17" s="14">
        <v>4136.5</v>
      </c>
      <c r="I17" s="14">
        <v>32970.79</v>
      </c>
      <c r="J17" s="14">
        <v>111951.66</v>
      </c>
      <c r="K17" s="5"/>
      <c r="L17" s="13"/>
      <c r="M17" s="14"/>
      <c r="N17" s="14"/>
      <c r="O17" s="14"/>
      <c r="P17" s="14"/>
      <c r="Q17" s="14"/>
      <c r="R17" s="14"/>
      <c r="S17" s="14"/>
      <c r="T17" s="14"/>
    </row>
    <row r="18" spans="1:20">
      <c r="A18" s="1"/>
      <c r="B18" s="2"/>
      <c r="C18" s="5"/>
      <c r="D18" s="13" t="s">
        <v>460</v>
      </c>
      <c r="E18" s="14">
        <v>79151.920000000013</v>
      </c>
      <c r="F18" s="14">
        <v>130351.16</v>
      </c>
      <c r="G18" s="14">
        <v>136663.53999999998</v>
      </c>
      <c r="H18" s="14">
        <v>77035.19</v>
      </c>
      <c r="I18" s="14">
        <v>126112.70000000001</v>
      </c>
      <c r="J18" s="14">
        <v>549314.51</v>
      </c>
      <c r="K18" s="5"/>
      <c r="L18" s="13"/>
      <c r="M18" s="14"/>
      <c r="N18" s="14"/>
      <c r="O18" s="14"/>
      <c r="P18" s="14"/>
      <c r="Q18" s="14"/>
      <c r="R18" s="14"/>
      <c r="S18" s="14"/>
      <c r="T18" s="14"/>
    </row>
    <row r="19" spans="1:20">
      <c r="A19" s="1"/>
      <c r="B19" s="2"/>
      <c r="C19" s="5"/>
      <c r="D19" s="5"/>
      <c r="E19" s="5"/>
      <c r="F19" s="5"/>
      <c r="G19" s="5"/>
      <c r="H19" s="5"/>
      <c r="I19" s="5"/>
      <c r="J19" s="5"/>
      <c r="K19" s="5"/>
      <c r="L19" s="13"/>
      <c r="M19" s="14"/>
      <c r="N19" s="14"/>
      <c r="O19" s="14"/>
      <c r="P19" s="14"/>
      <c r="Q19" s="14"/>
      <c r="R19" s="14"/>
      <c r="S19" s="14"/>
      <c r="T19" s="14"/>
    </row>
    <row r="20" spans="1:20">
      <c r="A20" s="5"/>
      <c r="B20" s="5"/>
      <c r="C20" s="5"/>
      <c r="D20" s="5"/>
      <c r="E20" s="5"/>
      <c r="F20" s="5"/>
      <c r="G20" s="5"/>
      <c r="H20" s="5"/>
      <c r="I20" s="5"/>
      <c r="J20" s="5"/>
      <c r="K20" s="5"/>
      <c r="L20" s="13"/>
      <c r="M20" s="14"/>
      <c r="N20" s="14"/>
      <c r="O20" s="14"/>
      <c r="P20" s="14"/>
      <c r="Q20" s="14"/>
      <c r="R20" s="14"/>
      <c r="S20" s="14"/>
      <c r="T20" s="14"/>
    </row>
    <row r="21" spans="1:20">
      <c r="A21" s="5"/>
      <c r="B21" s="5"/>
      <c r="C21" s="5"/>
      <c r="D21" s="5"/>
      <c r="E21" s="5"/>
      <c r="F21" s="5"/>
      <c r="G21" s="5"/>
      <c r="H21" s="5"/>
      <c r="I21" s="5"/>
      <c r="J21" s="5" t="s">
        <v>457</v>
      </c>
      <c r="K21" s="5"/>
      <c r="L21" s="13"/>
      <c r="M21" s="14"/>
      <c r="N21" s="14"/>
      <c r="O21" s="14"/>
      <c r="P21" s="14"/>
      <c r="Q21" s="14"/>
      <c r="R21" s="14"/>
      <c r="S21" s="14"/>
      <c r="T21" s="14"/>
    </row>
    <row r="22" spans="1:20">
      <c r="A22" s="5"/>
      <c r="B22" s="5"/>
      <c r="C22" s="5"/>
      <c r="D22" s="5"/>
      <c r="E22" s="5"/>
      <c r="F22" s="5"/>
      <c r="G22" s="5"/>
      <c r="H22" s="5"/>
      <c r="I22" s="5"/>
      <c r="J22" s="14">
        <v>549314.51</v>
      </c>
      <c r="K22" s="5"/>
      <c r="L22" s="5"/>
      <c r="M22" s="5"/>
      <c r="N22" s="5"/>
      <c r="O22" s="5"/>
      <c r="P22" s="5"/>
      <c r="Q22" s="5"/>
      <c r="R22" s="5"/>
      <c r="S22" s="5"/>
      <c r="T22" s="5"/>
    </row>
    <row r="27" spans="1:20">
      <c r="A27" s="5"/>
      <c r="B27" s="5"/>
      <c r="C27" s="5"/>
      <c r="D27" s="5"/>
      <c r="E27" s="5"/>
      <c r="F27" s="5"/>
      <c r="G27" s="5"/>
      <c r="H27" s="5" t="s">
        <v>463</v>
      </c>
      <c r="I27" s="5"/>
      <c r="J27" s="5"/>
      <c r="K27" s="5"/>
      <c r="L27" s="5"/>
      <c r="M27" s="5"/>
      <c r="N27" s="5"/>
      <c r="O27" s="5"/>
      <c r="P27" s="5"/>
      <c r="Q27" s="5"/>
      <c r="R27" s="5"/>
      <c r="S27" s="5"/>
      <c r="T27" s="5"/>
    </row>
    <row r="28" spans="1:20">
      <c r="A28" s="5"/>
      <c r="B28" s="5"/>
      <c r="C28" s="5"/>
      <c r="D28" s="5"/>
      <c r="E28" s="5"/>
      <c r="F28" s="5"/>
      <c r="G28" s="5"/>
      <c r="H28" s="14">
        <v>200</v>
      </c>
      <c r="I28" s="5"/>
      <c r="J28" s="5"/>
      <c r="K28" s="5"/>
      <c r="L28" s="5"/>
      <c r="M28" s="5"/>
      <c r="N28" s="5"/>
      <c r="O28" s="5"/>
      <c r="P28" s="5"/>
      <c r="Q28" s="5"/>
      <c r="R28" s="5"/>
      <c r="S28" s="5"/>
      <c r="T28" s="5"/>
    </row>
    <row r="29" spans="1:20">
      <c r="A29" s="5" t="s">
        <v>464</v>
      </c>
      <c r="B29" s="5"/>
      <c r="C29" s="5"/>
      <c r="D29" s="5"/>
      <c r="E29" s="5"/>
      <c r="F29" s="5"/>
      <c r="G29" s="5"/>
      <c r="H29" s="5"/>
      <c r="I29" s="5"/>
      <c r="J29" s="5"/>
      <c r="K29" s="5"/>
      <c r="L29" s="5"/>
      <c r="M29" s="5"/>
      <c r="N29" s="5"/>
      <c r="O29" s="5"/>
      <c r="P29" s="5"/>
      <c r="Q29" s="5"/>
      <c r="R29" s="5"/>
      <c r="S29" s="5"/>
      <c r="T29" s="5"/>
    </row>
    <row r="30" spans="1:20">
      <c r="A30" s="14">
        <v>2746.5725499999999</v>
      </c>
      <c r="B30" s="5"/>
      <c r="C30" s="5"/>
      <c r="D30" s="5"/>
      <c r="E30" s="5"/>
      <c r="F30" s="5"/>
      <c r="G30" s="5"/>
      <c r="H30" s="5"/>
      <c r="I30" s="5"/>
      <c r="J30" s="5"/>
      <c r="K30" s="5"/>
      <c r="L30" s="5"/>
      <c r="M30" s="5"/>
      <c r="N30" s="5"/>
      <c r="O30" s="5"/>
      <c r="P30" s="5"/>
      <c r="Q30" s="5"/>
      <c r="R30" s="5"/>
      <c r="S30" s="5"/>
      <c r="T30" s="5"/>
    </row>
    <row r="41" spans="5:5">
      <c r="E41" s="5" t="s">
        <v>463</v>
      </c>
    </row>
    <row r="42" spans="5:5">
      <c r="E42" s="14">
        <v>200</v>
      </c>
    </row>
  </sheetData>
  <mergeCells count="2">
    <mergeCell ref="A13:B13"/>
    <mergeCell ref="A11:B11"/>
  </mergeCells>
  <pageMargins left="0.75" right="0.75" top="1" bottom="1" header="0.5" footer="0.5"/>
  <drawing r:id="rId7"/>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2025-10-30T08:14:12Z</dcterms:created>
  <dcterms:modified xsi:type="dcterms:W3CDTF">2025-11-03T07:24:57Z</dcterms:modified>
  <cp:category/>
  <cp:contentStatus/>
</cp:coreProperties>
</file>